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Monthly_Data" sheetId="3" state="visible" r:id="rId3"/>
    <sheet xmlns:r="http://schemas.openxmlformats.org/officeDocument/2006/relationships" name="UE_Summary" sheetId="4" state="visible" r:id="rId4"/>
    <sheet xmlns:r="http://schemas.openxmlformats.org/officeDocument/2006/relationships" name="Team_COL01" sheetId="5" state="visible" r:id="rId5"/>
    <sheet xmlns:r="http://schemas.openxmlformats.org/officeDocument/2006/relationships" name="Team_COL02" sheetId="6" state="visible" r:id="rId6"/>
  </sheets>
  <definedNames>
    <definedName name="CONFIG_TAKE_RATE">'Config'!$B$10</definedName>
    <definedName name="CONFIG_DIAMOND_RATE">'Config'!$B$11</definedName>
    <definedName name="CONFIG_RENT">'Config'!$B$12</definedName>
    <definedName name="CONFIG_UTILITY">'Config'!$B$13</definedName>
    <definedName name="CONFIG_BUFFER">'Config'!$B$14</definedName>
    <definedName name="CONFIG_INITIAL_INVEST">'Config'!$B$15</definedName>
    <definedName name="CONFIG_CREATOR_BASE">'Config'!$B$16</definedName>
    <definedName name="CONFIG_CREATOR_REVSHARE">'Config'!$B$17</definedName>
    <definedName name="CONFIG_STAGE_BE">'Config'!$B$22</definedName>
    <definedName name="CONFIG_STAGE_STB">'Config'!$B$23</definedName>
    <definedName name="CONFIG_STAGE_OPT">'Config'!$B$24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0.0000"/>
    <numFmt numFmtId="165" formatCode="$#,##0"/>
    <numFmt numFmtId="166" formatCode="$#,##0.00"/>
    <numFmt numFmtId="167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666666"/>
      <sz val="9"/>
    </font>
    <font>
      <name val="Arial"/>
      <i val="1"/>
      <color rgb="00444444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9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16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6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6" fillId="0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1" fontId="4" fillId="8" borderId="1" applyAlignment="1" pivotButton="0" quotePrefix="0" xfId="0">
      <alignment horizontal="center" vertical="center" wrapText="1"/>
    </xf>
    <xf numFmtId="2" fontId="4" fillId="8" borderId="1" applyAlignment="1" pivotButton="0" quotePrefix="0" xfId="0">
      <alignment horizontal="center" vertical="center" wrapText="1"/>
    </xf>
    <xf numFmtId="166" fontId="4" fillId="8" borderId="1" applyAlignment="1" pivotButton="0" quotePrefix="0" xfId="0">
      <alignment horizontal="right" vertical="center"/>
    </xf>
    <xf numFmtId="0" fontId="3" fillId="4" borderId="1" pivotButton="0" quotePrefix="0" xfId="0"/>
    <xf numFmtId="165" fontId="3" fillId="4" borderId="1" pivotButton="0" quotePrefix="0" xfId="0"/>
    <xf numFmtId="166" fontId="3" fillId="4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3" fontId="4" fillId="6" borderId="1" pivotButton="0" quotePrefix="0" xfId="0"/>
    <xf numFmtId="1" fontId="4" fillId="6" borderId="1" pivotButton="0" quotePrefix="0" xfId="0"/>
    <xf numFmtId="165" fontId="4" fillId="7" borderId="1" pivotButton="0" quotePrefix="0" xfId="0"/>
    <xf numFmtId="165" fontId="4" fillId="6" borderId="1" pivotButton="0" quotePrefix="0" xfId="0"/>
    <xf numFmtId="3" fontId="4" fillId="8" borderId="1" applyAlignment="1" pivotButton="0" quotePrefix="0" xfId="0">
      <alignment horizontal="center" vertical="center" wrapText="1"/>
    </xf>
    <xf numFmtId="166" fontId="4" fillId="8" borderId="1" applyAlignment="1" pivotButton="0" quotePrefix="0" xfId="0">
      <alignment horizontal="center" vertical="center" wrapText="1"/>
    </xf>
    <xf numFmtId="167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COL01 — Cumulative Net Profit vs Break-even</a:t>
            </a:r>
          </a:p>
        </rich>
      </tx>
    </title>
    <plotArea>
      <lineChart>
        <grouping val="standard"/>
        <ser>
          <idx val="0"/>
          <order val="0"/>
          <tx>
            <v>Cumulative Net Profit</v>
          </tx>
          <spPr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'Team_COL01'!$A$5:$A$6</f>
            </numRef>
          </cat>
          <val>
            <numRef>
              <f>'Team_COL01'!$O$5:$O$6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COL02 — Cumulative Net Profit vs Break-even</a:t>
            </a:r>
          </a:p>
        </rich>
      </tx>
    </title>
    <plotArea>
      <lineChart>
        <grouping val="standard"/>
        <ser>
          <idx val="0"/>
          <order val="0"/>
          <tx>
            <v>Cumulative Net Profit</v>
          </tx>
          <spPr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'Team_COL02'!$A$5:$A$6</f>
            </numRef>
          </cat>
          <val>
            <numRef>
              <f>'Team_COL02'!$O$5:$O$6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14" customWidth="1" min="4" max="4"/>
    <col width="12" customWidth="1" min="5" max="5"/>
  </cols>
  <sheetData>
    <row r="1" ht="28" customHeight="1">
      <c r="A1" s="1" t="inlineStr">
        <is>
          <t>⚙️  CONFIG — Single source of truth for all assumptions</t>
        </is>
      </c>
    </row>
    <row r="3">
      <c r="A3" s="2" t="inlineStr">
        <is>
          <t>TEAM REGISTRY</t>
        </is>
      </c>
    </row>
    <row r="4">
      <c r="A4" s="3" t="inlineStr">
        <is>
          <t>Team ID</t>
        </is>
      </c>
      <c r="B4" s="3" t="inlineStr">
        <is>
          <t>Team Name</t>
        </is>
      </c>
      <c r="C4" s="3" t="inlineStr">
        <is>
          <t>Market</t>
        </is>
      </c>
      <c r="D4" s="3" t="inlineStr">
        <is>
          <t>Launch Date</t>
        </is>
      </c>
      <c r="E4" s="3" t="inlineStr">
        <is>
          <t>Status</t>
        </is>
      </c>
    </row>
    <row r="5">
      <c r="A5" s="4" t="inlineStr">
        <is>
          <t>COL01</t>
        </is>
      </c>
      <c r="B5" s="4" t="inlineStr">
        <is>
          <t>Team 1</t>
        </is>
      </c>
      <c r="C5" s="4" t="inlineStr">
        <is>
          <t>Colombia</t>
        </is>
      </c>
      <c r="D5" s="4" t="inlineStr">
        <is>
          <t>2025-09-01</t>
        </is>
      </c>
      <c r="E5" s="4" t="inlineStr">
        <is>
          <t>Active</t>
        </is>
      </c>
    </row>
    <row r="6">
      <c r="A6" s="4" t="inlineStr">
        <is>
          <t>COL02</t>
        </is>
      </c>
      <c r="B6" s="4" t="inlineStr">
        <is>
          <t>Team 2</t>
        </is>
      </c>
      <c r="C6" s="4" t="inlineStr">
        <is>
          <t>Colombia</t>
        </is>
      </c>
      <c r="D6" s="4" t="inlineStr">
        <is>
          <t>2026-02-01</t>
        </is>
      </c>
      <c r="E6" s="4" t="inlineStr">
        <is>
          <t>Active</t>
        </is>
      </c>
    </row>
    <row r="9">
      <c r="A9" s="2" t="inlineStr">
        <is>
          <t>UE ASSUMPTIONS  (edit yellow cells → all sheets update automatically)</t>
        </is>
      </c>
    </row>
    <row r="10">
      <c r="A10" s="5" t="inlineStr">
        <is>
          <t>Take Rate</t>
        </is>
      </c>
      <c r="B10" s="6" t="n">
        <v>0.65</v>
      </c>
      <c r="C10" s="7" t="inlineStr">
        <is>
          <t>← Named range: CONFIG_TAKE_RATE</t>
        </is>
      </c>
    </row>
    <row r="11">
      <c r="A11" s="5" t="inlineStr">
        <is>
          <t>Diamond → USD rate</t>
        </is>
      </c>
      <c r="B11" s="8" t="n">
        <v>0.01</v>
      </c>
      <c r="C11" s="7" t="inlineStr">
        <is>
          <t>← Named range: CONFIG_DIAMOND_RATE</t>
        </is>
      </c>
    </row>
    <row r="12">
      <c r="A12" s="5" t="inlineStr">
        <is>
          <t>Monthly Rent (USD)</t>
        </is>
      </c>
      <c r="B12" s="9" t="n">
        <v>600</v>
      </c>
      <c r="C12" s="7" t="inlineStr">
        <is>
          <t>← Named range: CONFIG_RENT</t>
        </is>
      </c>
    </row>
    <row r="13">
      <c r="A13" s="5" t="inlineStr">
        <is>
          <t>Monthly Utility (USD)</t>
        </is>
      </c>
      <c r="B13" s="9" t="n">
        <v>800</v>
      </c>
      <c r="C13" s="7" t="inlineStr">
        <is>
          <t>← Named range: CONFIG_UTILITY</t>
        </is>
      </c>
    </row>
    <row r="14">
      <c r="A14" s="5" t="inlineStr">
        <is>
          <t>Monthly Buffer (USD)</t>
        </is>
      </c>
      <c r="B14" s="9" t="n">
        <v>1000</v>
      </c>
      <c r="C14" s="7" t="inlineStr">
        <is>
          <t>← Named range: CONFIG_BUFFER</t>
        </is>
      </c>
    </row>
    <row r="15">
      <c r="A15" s="5" t="inlineStr">
        <is>
          <t>Initial Investment/team</t>
        </is>
      </c>
      <c r="B15" s="9" t="n">
        <v>11430</v>
      </c>
      <c r="C15" s="7" t="inlineStr">
        <is>
          <t>← Named range: CONFIG_INITIAL_INVEST</t>
        </is>
      </c>
    </row>
    <row r="16">
      <c r="A16" s="5" t="inlineStr">
        <is>
          <t>Creator Base Salary</t>
        </is>
      </c>
      <c r="B16" s="9" t="n">
        <v>500</v>
      </c>
      <c r="C16" s="7" t="inlineStr">
        <is>
          <t>← Named range: CONFIG_CREATOR_BASE</t>
        </is>
      </c>
    </row>
    <row r="17">
      <c r="A17" s="5" t="inlineStr">
        <is>
          <t>Revenue Share %</t>
        </is>
      </c>
      <c r="B17" s="6" t="n">
        <v>0.25</v>
      </c>
      <c r="C17" s="7" t="inlineStr">
        <is>
          <t>← Named range: CONFIG_CREATOR_REVSHARE</t>
        </is>
      </c>
    </row>
    <row r="19">
      <c r="A19" s="2" t="inlineStr">
        <is>
          <t>STAGE THRESHOLDS (diamonds / month)</t>
        </is>
      </c>
    </row>
    <row r="20">
      <c r="A20" s="3" t="inlineStr">
        <is>
          <t>Stage</t>
        </is>
      </c>
      <c r="B20" s="3" t="inlineStr">
        <is>
          <t>Min Diamonds (≥)</t>
        </is>
      </c>
    </row>
    <row r="21">
      <c r="A21" s="10" t="inlineStr">
        <is>
          <t>🌱 Incubation</t>
        </is>
      </c>
      <c r="B21" s="11" t="n">
        <v>0</v>
      </c>
    </row>
    <row r="22">
      <c r="A22" s="10" t="inlineStr">
        <is>
          <t>⚠️ Breakeven</t>
        </is>
      </c>
      <c r="B22" s="11" t="n">
        <v>500000</v>
      </c>
    </row>
    <row r="23">
      <c r="A23" s="10" t="inlineStr">
        <is>
          <t>✅ Stable</t>
        </is>
      </c>
      <c r="B23" s="11" t="n">
        <v>1060000</v>
      </c>
    </row>
    <row r="24">
      <c r="A24" s="10" t="inlineStr">
        <is>
          <t>🚀 Optimistic</t>
        </is>
      </c>
      <c r="B24" s="11" t="n">
        <v>2000000</v>
      </c>
    </row>
    <row r="26">
      <c r="A26" s="2" t="inlineStr">
        <is>
          <t>LEGEND</t>
        </is>
      </c>
    </row>
    <row r="27">
      <c r="A27" s="12" t="n"/>
      <c r="B27" s="7" t="inlineStr">
        <is>
          <t>Yellow = Data entry required</t>
        </is>
      </c>
    </row>
    <row r="28">
      <c r="A28" s="13" t="n"/>
      <c r="B28" s="7" t="inlineStr">
        <is>
          <t>Blue   = Actual override (blank → use Config assumption)</t>
        </is>
      </c>
    </row>
    <row r="29">
      <c r="A29" s="14" t="n"/>
      <c r="B29" s="7" t="inlineStr">
        <is>
          <t>Grey   = Auto-calculated — do not edit</t>
        </is>
      </c>
    </row>
  </sheetData>
  <mergeCells count="5">
    <mergeCell ref="A26:B26"/>
    <mergeCell ref="A19:C19"/>
    <mergeCell ref="A9:C9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👥  STAFF — Mark "✓" in team columns; cost allocation auto-calculates</t>
        </is>
      </c>
    </row>
    <row r="2">
      <c r="A2" s="15" t="inlineStr">
        <is>
          <t>Allocation Coeff = 1 ÷ Teams Covered.  Per-team cost = Salary × Coeff (if assigned).</t>
        </is>
      </c>
    </row>
    <row r="3">
      <c r="A3" s="3" t="inlineStr">
        <is>
          <t>Staff Name</t>
        </is>
      </c>
      <c r="B3" s="3" t="inlineStr">
        <is>
          <t>Role</t>
        </is>
      </c>
      <c r="C3" s="3" t="inlineStr">
        <is>
          <t>Salary (USD)</t>
        </is>
      </c>
      <c r="D3" s="3" t="inlineStr">
        <is>
          <t>COL01</t>
        </is>
      </c>
      <c r="E3" s="3" t="inlineStr">
        <is>
          <t>COL02</t>
        </is>
      </c>
      <c r="F3" s="16" t="inlineStr">
        <is>
          <t>Teams Covered</t>
        </is>
      </c>
      <c r="G3" s="16" t="inlineStr">
        <is>
          <t>Alloc Coeff</t>
        </is>
      </c>
      <c r="H3" s="16" t="inlineStr">
        <is>
          <t>COL01 Cost (USD)</t>
        </is>
      </c>
      <c r="I3" s="16" t="inlineStr">
        <is>
          <t>COL02 Cost (USD)</t>
        </is>
      </c>
    </row>
    <row r="4">
      <c r="A4" s="10" t="inlineStr">
        <is>
          <t>Ops Manager</t>
        </is>
      </c>
      <c r="B4" s="10" t="inlineStr">
        <is>
          <t>Operations</t>
        </is>
      </c>
      <c r="C4" s="17" t="n">
        <v>800</v>
      </c>
      <c r="D4" s="18" t="inlineStr">
        <is>
          <t>✓</t>
        </is>
      </c>
      <c r="E4" s="18" t="inlineStr">
        <is>
          <t>✓</t>
        </is>
      </c>
      <c r="F4" s="19">
        <f>COUNTIF(D4:E4,"✓")</f>
        <v/>
      </c>
      <c r="G4" s="20">
        <f>IF(F4=0,0,1/F4)</f>
        <v/>
      </c>
      <c r="H4" s="21">
        <f>IF(D4="✓",C4*G4,0)</f>
        <v/>
      </c>
      <c r="I4" s="21">
        <f>IF(E4="✓",C4*G4,0)</f>
        <v/>
      </c>
    </row>
    <row r="5">
      <c r="A5" s="10" t="inlineStr">
        <is>
          <t>Dance Teacher</t>
        </is>
      </c>
      <c r="B5" s="10" t="inlineStr">
        <is>
          <t>Dance Teacher</t>
        </is>
      </c>
      <c r="C5" s="17" t="n">
        <v>600</v>
      </c>
      <c r="D5" s="18" t="inlineStr">
        <is>
          <t>✓</t>
        </is>
      </c>
      <c r="E5" s="18" t="inlineStr"/>
      <c r="F5" s="19">
        <f>COUNTIF(D5:E5,"✓")</f>
        <v/>
      </c>
      <c r="G5" s="20">
        <f>IF(F5=0,0,1/F5)</f>
        <v/>
      </c>
      <c r="H5" s="21">
        <f>IF(D5="✓",C5*G5,0)</f>
        <v/>
      </c>
      <c r="I5" s="21">
        <f>IF(E5="✓",C5*G5,0)</f>
        <v/>
      </c>
    </row>
    <row r="6">
      <c r="A6" s="10" t="inlineStr">
        <is>
          <t>MUA</t>
        </is>
      </c>
      <c r="B6" s="10" t="inlineStr">
        <is>
          <t>MUA</t>
        </is>
      </c>
      <c r="C6" s="17" t="n">
        <v>500</v>
      </c>
      <c r="D6" s="18" t="inlineStr">
        <is>
          <t>✓</t>
        </is>
      </c>
      <c r="E6" s="18" t="inlineStr">
        <is>
          <t>✓</t>
        </is>
      </c>
      <c r="F6" s="19">
        <f>COUNTIF(D6:E6,"✓")</f>
        <v/>
      </c>
      <c r="G6" s="20">
        <f>IF(F6=0,0,1/F6)</f>
        <v/>
      </c>
      <c r="H6" s="21">
        <f>IF(D6="✓",C6*G6,0)</f>
        <v/>
      </c>
      <c r="I6" s="21">
        <f>IF(E6="✓",C6*G6,0)</f>
        <v/>
      </c>
    </row>
    <row r="7">
      <c r="A7" s="10" t="inlineStr">
        <is>
          <t>Tech Support</t>
        </is>
      </c>
      <c r="B7" s="10" t="inlineStr">
        <is>
          <t>Tech</t>
        </is>
      </c>
      <c r="C7" s="17" t="n">
        <v>400</v>
      </c>
      <c r="D7" s="18" t="inlineStr">
        <is>
          <t>✓</t>
        </is>
      </c>
      <c r="E7" s="18" t="inlineStr">
        <is>
          <t>✓</t>
        </is>
      </c>
      <c r="F7" s="19">
        <f>COUNTIF(D7:E7,"✓")</f>
        <v/>
      </c>
      <c r="G7" s="20">
        <f>IF(F7=0,0,1/F7)</f>
        <v/>
      </c>
      <c r="H7" s="21">
        <f>IF(D7="✓",C7*G7,0)</f>
        <v/>
      </c>
      <c r="I7" s="21">
        <f>IF(E7="✓",C7*G7,0)</f>
        <v/>
      </c>
    </row>
    <row r="8">
      <c r="A8" s="22" t="inlineStr">
        <is>
          <t>TOTAL</t>
        </is>
      </c>
      <c r="C8" s="23">
        <f>SUM(C4:C7)</f>
        <v/>
      </c>
      <c r="H8" s="24">
        <f>SUM(H4:H7)</f>
        <v/>
      </c>
      <c r="I8" s="24">
        <f>SUM(I4:I7)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8" customHeight="1">
      <c r="A1" s="1" t="inlineStr">
        <is>
          <t>📋  MONTHLY DATA — Enter actual values (blue = override; blank = use Config default)</t>
        </is>
      </c>
    </row>
    <row r="2">
      <c r="B2" s="2" t="inlineStr">
        <is>
          <t>── COL01 ──</t>
        </is>
      </c>
      <c r="I2" s="2" t="inlineStr">
        <is>
          <t>── COL02 ──</t>
        </is>
      </c>
      <c r="P2" s="2" t="inlineStr">
        <is>
          <t>── SHARED ADMIN (split equally across teams) ──</t>
        </is>
      </c>
    </row>
    <row r="3">
      <c r="A3" s="3" t="inlineStr">
        <is>
          <t>Month</t>
        </is>
      </c>
      <c r="B3" s="25" t="inlineStr">
        <is>
          <t>Diamonds</t>
        </is>
      </c>
      <c r="C3" s="25" t="inlineStr">
        <is>
          <t>Creators</t>
        </is>
      </c>
      <c r="D3" s="26" t="inlineStr">
        <is>
          <t>Creator Sal. Actual</t>
        </is>
      </c>
      <c r="E3" s="26" t="inlineStr">
        <is>
          <t>Rent Actual</t>
        </is>
      </c>
      <c r="F3" s="26" t="inlineStr">
        <is>
          <t>Utility Actual</t>
        </is>
      </c>
      <c r="G3" s="26" t="inlineStr">
        <is>
          <t>Buffer Actual</t>
        </is>
      </c>
      <c r="H3" s="26" t="inlineStr">
        <is>
          <t>Other Cost Actual</t>
        </is>
      </c>
      <c r="I3" s="25" t="inlineStr">
        <is>
          <t>Diamonds</t>
        </is>
      </c>
      <c r="J3" s="25" t="inlineStr">
        <is>
          <t>Creators</t>
        </is>
      </c>
      <c r="K3" s="26" t="inlineStr">
        <is>
          <t>Creator Sal. Actual</t>
        </is>
      </c>
      <c r="L3" s="26" t="inlineStr">
        <is>
          <t>Rent Actual</t>
        </is>
      </c>
      <c r="M3" s="26" t="inlineStr">
        <is>
          <t>Utility Actual</t>
        </is>
      </c>
      <c r="N3" s="26" t="inlineStr">
        <is>
          <t>Buffer Actual</t>
        </is>
      </c>
      <c r="O3" s="26" t="inlineStr">
        <is>
          <t>Other Cost Actual</t>
        </is>
      </c>
      <c r="P3" s="25" t="inlineStr">
        <is>
          <t>Clothes</t>
        </is>
      </c>
      <c r="Q3" s="25" t="inlineStr">
        <is>
          <t>Taxi</t>
        </is>
      </c>
      <c r="R3" s="25" t="inlineStr">
        <is>
          <t>Meals</t>
        </is>
      </c>
      <c r="S3" s="25" t="inlineStr">
        <is>
          <t>Other Admin</t>
        </is>
      </c>
    </row>
    <row r="4">
      <c r="A4" s="4" t="inlineStr">
        <is>
          <t>2026-02</t>
        </is>
      </c>
      <c r="B4" s="27" t="n">
        <v>890000</v>
      </c>
      <c r="C4" s="28" t="n">
        <v>4</v>
      </c>
      <c r="D4" s="29" t="n"/>
      <c r="E4" s="29" t="n"/>
      <c r="F4" s="29" t="n"/>
      <c r="G4" s="29" t="n"/>
      <c r="H4" s="29" t="n"/>
      <c r="I4" s="27" t="n">
        <v>450000</v>
      </c>
      <c r="J4" s="28" t="n">
        <v>3</v>
      </c>
      <c r="K4" s="29" t="n"/>
      <c r="L4" s="29" t="n"/>
      <c r="M4" s="29" t="n"/>
      <c r="N4" s="29" t="n"/>
      <c r="O4" s="29" t="n"/>
      <c r="P4" s="30" t="n"/>
      <c r="Q4" s="30" t="n"/>
      <c r="R4" s="30" t="n"/>
      <c r="S4" s="30" t="n"/>
    </row>
    <row r="5">
      <c r="A5" s="4" t="inlineStr">
        <is>
          <t>2026-03</t>
        </is>
      </c>
      <c r="B5" s="27" t="n">
        <v>1200000</v>
      </c>
      <c r="C5" s="28" t="n">
        <v>4</v>
      </c>
      <c r="D5" s="29" t="n"/>
      <c r="E5" s="29" t="n"/>
      <c r="F5" s="29" t="n"/>
      <c r="G5" s="29" t="n"/>
      <c r="H5" s="29" t="n"/>
      <c r="I5" s="27" t="n">
        <v>620000</v>
      </c>
      <c r="J5" s="28" t="n">
        <v>3</v>
      </c>
      <c r="K5" s="29" t="n"/>
      <c r="L5" s="29" t="n"/>
      <c r="M5" s="29" t="n"/>
      <c r="N5" s="29" t="n"/>
      <c r="O5" s="29" t="n"/>
      <c r="P5" s="30" t="n"/>
      <c r="Q5" s="30" t="n"/>
      <c r="R5" s="30" t="n"/>
      <c r="S5" s="30" t="n"/>
    </row>
  </sheetData>
  <mergeCells count="4">
    <mergeCell ref="P2:S2"/>
    <mergeCell ref="B2:H2"/>
    <mergeCell ref="I2:O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>📊  UE SUMMARY — Auto-calculated. Do not edit.</t>
        </is>
      </c>
    </row>
    <row r="2">
      <c r="A2" s="16" t="inlineStr">
        <is>
          <t>Month</t>
        </is>
      </c>
      <c r="B2" s="16" t="inlineStr">
        <is>
          <t>Team ID</t>
        </is>
      </c>
      <c r="C2" s="16" t="inlineStr">
        <is>
          <t>Team Name</t>
        </is>
      </c>
      <c r="D2" s="16" t="inlineStr">
        <is>
          <t>Diamonds</t>
        </is>
      </c>
      <c r="E2" s="16" t="inlineStr">
        <is>
          <t>Revenue (USD)</t>
        </is>
      </c>
      <c r="F2" s="16" t="inlineStr">
        <is>
          <t>Creator Salary</t>
        </is>
      </c>
      <c r="G2" s="16" t="inlineStr">
        <is>
          <t>Staff Cost</t>
        </is>
      </c>
      <c r="H2" s="16" t="inlineStr">
        <is>
          <t>Rent</t>
        </is>
      </c>
      <c r="I2" s="16" t="inlineStr">
        <is>
          <t>Utility</t>
        </is>
      </c>
      <c r="J2" s="16" t="inlineStr">
        <is>
          <t>Buffer</t>
        </is>
      </c>
      <c r="K2" s="16" t="inlineStr">
        <is>
          <t>Admin Share</t>
        </is>
      </c>
      <c r="L2" s="16" t="inlineStr">
        <is>
          <t>Other</t>
        </is>
      </c>
      <c r="M2" s="16" t="inlineStr">
        <is>
          <t>Total Cost</t>
        </is>
      </c>
      <c r="N2" s="16" t="inlineStr">
        <is>
          <t>Gross Profit</t>
        </is>
      </c>
      <c r="O2" s="16" t="inlineStr">
        <is>
          <t>Margin %</t>
        </is>
      </c>
      <c r="P2" s="16" t="inlineStr">
        <is>
          <t>Stage</t>
        </is>
      </c>
      <c r="Q2" s="16" t="inlineStr">
        <is>
          <t>Cumul. Net</t>
        </is>
      </c>
      <c r="R2" s="16" t="inlineStr">
        <is>
          <t>Initial Invest.</t>
        </is>
      </c>
      <c r="S2" s="16" t="inlineStr">
        <is>
          <t>Recovered?</t>
        </is>
      </c>
      <c r="T2" s="16" t="inlineStr">
        <is>
          <t>Month #</t>
        </is>
      </c>
    </row>
    <row r="3">
      <c r="A3" s="4" t="inlineStr">
        <is>
          <t>2026-02</t>
        </is>
      </c>
      <c r="B3" s="4" t="inlineStr">
        <is>
          <t>COL01</t>
        </is>
      </c>
      <c r="C3" s="4" t="inlineStr">
        <is>
          <t>Team 1</t>
        </is>
      </c>
      <c r="D3" s="31">
        <f>IF(Monthly_Data!B4="",0,Monthly_Data!B4)</f>
        <v/>
      </c>
      <c r="E3" s="32">
        <f>IF(Monthly_Data!B4="",0,Monthly_Data!B4*CONFIG_DIAMOND_RATE*CONFIG_TAKE_RATE)</f>
        <v/>
      </c>
      <c r="F3" s="32">
        <f>IF(Monthly_Data!D4&lt;&gt;"",Monthly_Data!D4,MAX(CONFIG_CREATOR_BASE*IF(Monthly_Data!C4="",0,Monthly_Data!C4),Monthly_Data!B4*CONFIG_DIAMOND_RATE*CONFIG_TAKE_RATE*CONFIG_CREATOR_REVSHARE))</f>
        <v/>
      </c>
      <c r="G3" s="32">
        <f>SUM(Staff!H4:Staff!H200)</f>
        <v/>
      </c>
      <c r="H3" s="32">
        <f>IF(Monthly_Data!E4&lt;&gt;"",Monthly_Data!E4,CONFIG_RENT)</f>
        <v/>
      </c>
      <c r="I3" s="32">
        <f>IF(Monthly_Data!F4&lt;&gt;"",Monthly_Data!F4,CONFIG_UTILITY)</f>
        <v/>
      </c>
      <c r="J3" s="32">
        <f>IF(Monthly_Data!G4&lt;&gt;"",Monthly_Data!G4,CONFIG_BUFFER)</f>
        <v/>
      </c>
      <c r="K3" s="32">
        <f>SUM(Monthly_Data!P4:S4)/2</f>
        <v/>
      </c>
      <c r="L3" s="32">
        <f>IF(Monthly_Data!H4&lt;&gt;"",Monthly_Data!H4,0)</f>
        <v/>
      </c>
      <c r="M3" s="32">
        <f>SUM(F3:L3)</f>
        <v/>
      </c>
      <c r="N3" s="32">
        <f>E3-M3</f>
        <v/>
      </c>
      <c r="O3" s="33">
        <f>IF(E3=0,0,N3/E3)</f>
        <v/>
      </c>
      <c r="P3" s="34">
        <f>IFS(D3&gt;=CONFIG_STAGE_OPT,"🚀 Optimistic",D3&gt;=CONFIG_STAGE_STB,"✅ Stable",D3&gt;=CONFIG_STAGE_BE,"⚠️ Breakeven",TRUE,"🌱 Incubation")</f>
        <v/>
      </c>
      <c r="Q3" s="32">
        <f>N3</f>
        <v/>
      </c>
      <c r="R3" s="32">
        <f>CONFIG_INITIAL_INVEST</f>
        <v/>
      </c>
      <c r="S3" s="34">
        <f>IF(Q3&gt;=CONFIG_INITIAL_INVEST,"✅ YES","⏳ No")</f>
        <v/>
      </c>
      <c r="T3" s="19">
        <f>DATEDIF(DATE(LEFT('Config'!$D$5,4),MID('Config'!$D$5,6,2),1),DATE(LEFT(A3,4),RIGHT(A3,2),1),"M")+1</f>
        <v/>
      </c>
    </row>
    <row r="4">
      <c r="A4" s="4" t="inlineStr">
        <is>
          <t>2026-02</t>
        </is>
      </c>
      <c r="B4" s="4" t="inlineStr">
        <is>
          <t>COL02</t>
        </is>
      </c>
      <c r="C4" s="4" t="inlineStr">
        <is>
          <t>Team 2</t>
        </is>
      </c>
      <c r="D4" s="31">
        <f>IF(Monthly_Data!I4="",0,Monthly_Data!I4)</f>
        <v/>
      </c>
      <c r="E4" s="32">
        <f>IF(Monthly_Data!I4="",0,Monthly_Data!I4*CONFIG_DIAMOND_RATE*CONFIG_TAKE_RATE)</f>
        <v/>
      </c>
      <c r="F4" s="32">
        <f>IF(Monthly_Data!K4&lt;&gt;"",Monthly_Data!K4,MAX(CONFIG_CREATOR_BASE*IF(Monthly_Data!J4="",0,Monthly_Data!J4),Monthly_Data!I4*CONFIG_DIAMOND_RATE*CONFIG_TAKE_RATE*CONFIG_CREATOR_REVSHARE))</f>
        <v/>
      </c>
      <c r="G4" s="32">
        <f>SUM(Staff!I4:Staff!I200)</f>
        <v/>
      </c>
      <c r="H4" s="32">
        <f>IF(Monthly_Data!L4&lt;&gt;"",Monthly_Data!L4,CONFIG_RENT)</f>
        <v/>
      </c>
      <c r="I4" s="32">
        <f>IF(Monthly_Data!M4&lt;&gt;"",Monthly_Data!M4,CONFIG_UTILITY)</f>
        <v/>
      </c>
      <c r="J4" s="32">
        <f>IF(Monthly_Data!N4&lt;&gt;"",Monthly_Data!N4,CONFIG_BUFFER)</f>
        <v/>
      </c>
      <c r="K4" s="32">
        <f>SUM(Monthly_Data!P4:S4)/2</f>
        <v/>
      </c>
      <c r="L4" s="32">
        <f>IF(Monthly_Data!O4&lt;&gt;"",Monthly_Data!O4,0)</f>
        <v/>
      </c>
      <c r="M4" s="32">
        <f>SUM(F4:L4)</f>
        <v/>
      </c>
      <c r="N4" s="32">
        <f>E4-M4</f>
        <v/>
      </c>
      <c r="O4" s="33">
        <f>IF(E4=0,0,N4/E4)</f>
        <v/>
      </c>
      <c r="P4" s="34">
        <f>IFS(D4&gt;=CONFIG_STAGE_OPT,"🚀 Optimistic",D4&gt;=CONFIG_STAGE_STB,"✅ Stable",D4&gt;=CONFIG_STAGE_BE,"⚠️ Breakeven",TRUE,"🌱 Incubation")</f>
        <v/>
      </c>
      <c r="Q4" s="32">
        <f>N4</f>
        <v/>
      </c>
      <c r="R4" s="32">
        <f>CONFIG_INITIAL_INVEST</f>
        <v/>
      </c>
      <c r="S4" s="34">
        <f>IF(Q4&gt;=CONFIG_INITIAL_INVEST,"✅ YES","⏳ No")</f>
        <v/>
      </c>
      <c r="T4" s="19">
        <f>DATEDIF(DATE(LEFT('Config'!$D$6,4),MID('Config'!$D$6,6,2),1),DATE(LEFT(A4,4),RIGHT(A4,2),1),"M")+1</f>
        <v/>
      </c>
    </row>
    <row r="5">
      <c r="A5" s="4" t="inlineStr">
        <is>
          <t>2026-03</t>
        </is>
      </c>
      <c r="B5" s="4" t="inlineStr">
        <is>
          <t>COL01</t>
        </is>
      </c>
      <c r="C5" s="4" t="inlineStr">
        <is>
          <t>Team 1</t>
        </is>
      </c>
      <c r="D5" s="31">
        <f>IF(Monthly_Data!B5="",0,Monthly_Data!B5)</f>
        <v/>
      </c>
      <c r="E5" s="32">
        <f>IF(Monthly_Data!B5="",0,Monthly_Data!B5*CONFIG_DIAMOND_RATE*CONFIG_TAKE_RATE)</f>
        <v/>
      </c>
      <c r="F5" s="32">
        <f>IF(Monthly_Data!D5&lt;&gt;"",Monthly_Data!D5,MAX(CONFIG_CREATOR_BASE*IF(Monthly_Data!C5="",0,Monthly_Data!C5),Monthly_Data!B5*CONFIG_DIAMOND_RATE*CONFIG_TAKE_RATE*CONFIG_CREATOR_REVSHARE))</f>
        <v/>
      </c>
      <c r="G5" s="32">
        <f>SUM(Staff!H4:Staff!H200)</f>
        <v/>
      </c>
      <c r="H5" s="32">
        <f>IF(Monthly_Data!E5&lt;&gt;"",Monthly_Data!E5,CONFIG_RENT)</f>
        <v/>
      </c>
      <c r="I5" s="32">
        <f>IF(Monthly_Data!F5&lt;&gt;"",Monthly_Data!F5,CONFIG_UTILITY)</f>
        <v/>
      </c>
      <c r="J5" s="32">
        <f>IF(Monthly_Data!G5&lt;&gt;"",Monthly_Data!G5,CONFIG_BUFFER)</f>
        <v/>
      </c>
      <c r="K5" s="32">
        <f>SUM(Monthly_Data!P5:S5)/2</f>
        <v/>
      </c>
      <c r="L5" s="32">
        <f>IF(Monthly_Data!H5&lt;&gt;"",Monthly_Data!H5,0)</f>
        <v/>
      </c>
      <c r="M5" s="32">
        <f>SUM(F5:L5)</f>
        <v/>
      </c>
      <c r="N5" s="32">
        <f>E5-M5</f>
        <v/>
      </c>
      <c r="O5" s="33">
        <f>IF(E5=0,0,N5/E5)</f>
        <v/>
      </c>
      <c r="P5" s="34">
        <f>IFS(D5&gt;=CONFIG_STAGE_OPT,"🚀 Optimistic",D5&gt;=CONFIG_STAGE_STB,"✅ Stable",D5&gt;=CONFIG_STAGE_BE,"⚠️ Breakeven",TRUE,"🌱 Incubation")</f>
        <v/>
      </c>
      <c r="Q5" s="32">
        <f>N5+N3</f>
        <v/>
      </c>
      <c r="R5" s="32">
        <f>CONFIG_INITIAL_INVEST</f>
        <v/>
      </c>
      <c r="S5" s="34">
        <f>IF(Q5&gt;=CONFIG_INITIAL_INVEST,"✅ YES","⏳ No")</f>
        <v/>
      </c>
      <c r="T5" s="19">
        <f>DATEDIF(DATE(LEFT('Config'!$D$5,4),MID('Config'!$D$5,6,2),1),DATE(LEFT(A5,4),RIGHT(A5,2),1),"M")+1</f>
        <v/>
      </c>
    </row>
    <row r="6">
      <c r="A6" s="4" t="inlineStr">
        <is>
          <t>2026-03</t>
        </is>
      </c>
      <c r="B6" s="4" t="inlineStr">
        <is>
          <t>COL02</t>
        </is>
      </c>
      <c r="C6" s="4" t="inlineStr">
        <is>
          <t>Team 2</t>
        </is>
      </c>
      <c r="D6" s="31">
        <f>IF(Monthly_Data!I5="",0,Monthly_Data!I5)</f>
        <v/>
      </c>
      <c r="E6" s="32">
        <f>IF(Monthly_Data!I5="",0,Monthly_Data!I5*CONFIG_DIAMOND_RATE*CONFIG_TAKE_RATE)</f>
        <v/>
      </c>
      <c r="F6" s="32">
        <f>IF(Monthly_Data!K5&lt;&gt;"",Monthly_Data!K5,MAX(CONFIG_CREATOR_BASE*IF(Monthly_Data!J5="",0,Monthly_Data!J5),Monthly_Data!I5*CONFIG_DIAMOND_RATE*CONFIG_TAKE_RATE*CONFIG_CREATOR_REVSHARE))</f>
        <v/>
      </c>
      <c r="G6" s="32">
        <f>SUM(Staff!I4:Staff!I200)</f>
        <v/>
      </c>
      <c r="H6" s="32">
        <f>IF(Monthly_Data!L5&lt;&gt;"",Monthly_Data!L5,CONFIG_RENT)</f>
        <v/>
      </c>
      <c r="I6" s="32">
        <f>IF(Monthly_Data!M5&lt;&gt;"",Monthly_Data!M5,CONFIG_UTILITY)</f>
        <v/>
      </c>
      <c r="J6" s="32">
        <f>IF(Monthly_Data!N5&lt;&gt;"",Monthly_Data!N5,CONFIG_BUFFER)</f>
        <v/>
      </c>
      <c r="K6" s="32">
        <f>SUM(Monthly_Data!P5:S5)/2</f>
        <v/>
      </c>
      <c r="L6" s="32">
        <f>IF(Monthly_Data!O5&lt;&gt;"",Monthly_Data!O5,0)</f>
        <v/>
      </c>
      <c r="M6" s="32">
        <f>SUM(F6:L6)</f>
        <v/>
      </c>
      <c r="N6" s="32">
        <f>E6-M6</f>
        <v/>
      </c>
      <c r="O6" s="33">
        <f>IF(E6=0,0,N6/E6)</f>
        <v/>
      </c>
      <c r="P6" s="34">
        <f>IFS(D6&gt;=CONFIG_STAGE_OPT,"🚀 Optimistic",D6&gt;=CONFIG_STAGE_STB,"✅ Stable",D6&gt;=CONFIG_STAGE_BE,"⚠️ Breakeven",TRUE,"🌱 Incubation")</f>
        <v/>
      </c>
      <c r="Q6" s="32">
        <f>N6+N4</f>
        <v/>
      </c>
      <c r="R6" s="32">
        <f>CONFIG_INITIAL_INVEST</f>
        <v/>
      </c>
      <c r="S6" s="34">
        <f>IF(Q6&gt;=CONFIG_INITIAL_INVEST,"✅ YES","⏳ No")</f>
        <v/>
      </c>
      <c r="T6" s="19">
        <f>DATEDIF(DATE(LEFT('Config'!$D$6,4),MID('Config'!$D$6,6,2),1),DATE(LEFT(A6,4),RIGHT(A6,2),1),"M")+1</f>
        <v/>
      </c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8" customHeight="1">
      <c r="A1" s="1" t="inlineStr">
        <is>
          <t>🏠  COL01 — Team 1  (Colombia)</t>
        </is>
      </c>
    </row>
    <row r="2">
      <c r="A2" s="35" t="inlineStr">
        <is>
          <t>Launch Date:</t>
        </is>
      </c>
      <c r="B2" s="36" t="inlineStr">
        <is>
          <t>2025-09-01</t>
        </is>
      </c>
      <c r="C2" s="35" t="inlineStr">
        <is>
          <t>Status:</t>
        </is>
      </c>
      <c r="D2" s="36" t="inlineStr">
        <is>
          <t>Active</t>
        </is>
      </c>
      <c r="E2" s="35" t="inlineStr">
        <is>
          <t>Market:</t>
        </is>
      </c>
      <c r="F2" s="36" t="inlineStr">
        <is>
          <t>Colombia</t>
        </is>
      </c>
    </row>
    <row r="4">
      <c r="A4" s="3" t="inlineStr">
        <is>
          <t>Month</t>
        </is>
      </c>
      <c r="B4" s="3" t="inlineStr">
        <is>
          <t>Diamonds</t>
        </is>
      </c>
      <c r="C4" s="3" t="inlineStr">
        <is>
          <t>Revenue</t>
        </is>
      </c>
      <c r="D4" s="3" t="inlineStr">
        <is>
          <t>Creator Sal.</t>
        </is>
      </c>
      <c r="E4" s="3" t="inlineStr">
        <is>
          <t>Staff Cost</t>
        </is>
      </c>
      <c r="F4" s="3" t="inlineStr">
        <is>
          <t>Rent</t>
        </is>
      </c>
      <c r="G4" s="3" t="inlineStr">
        <is>
          <t>Utility</t>
        </is>
      </c>
      <c r="H4" s="3" t="inlineStr">
        <is>
          <t>Buffer</t>
        </is>
      </c>
      <c r="I4" s="3" t="inlineStr">
        <is>
          <t>Admin</t>
        </is>
      </c>
      <c r="J4" s="3" t="inlineStr">
        <is>
          <t>Other</t>
        </is>
      </c>
      <c r="K4" s="3" t="inlineStr">
        <is>
          <t>Total Cost</t>
        </is>
      </c>
      <c r="L4" s="3" t="inlineStr">
        <is>
          <t>Gross Profit</t>
        </is>
      </c>
      <c r="M4" s="3" t="inlineStr">
        <is>
          <t>Margin %</t>
        </is>
      </c>
      <c r="N4" s="3" t="inlineStr">
        <is>
          <t>Stage</t>
        </is>
      </c>
      <c r="O4" s="3" t="inlineStr">
        <is>
          <t>Cumul. Net</t>
        </is>
      </c>
      <c r="P4" s="3" t="inlineStr">
        <is>
          <t>Initial Invest.</t>
        </is>
      </c>
      <c r="Q4" s="3" t="inlineStr">
        <is>
          <t>Recovered?</t>
        </is>
      </c>
      <c r="R4" s="3" t="inlineStr">
        <is>
          <t>Month #</t>
        </is>
      </c>
    </row>
    <row r="5">
      <c r="A5" s="34">
        <f>UE_Summary!A3</f>
        <v/>
      </c>
      <c r="B5" s="31">
        <f>UE_Summary!D3</f>
        <v/>
      </c>
      <c r="C5" s="32">
        <f>UE_Summary!E3</f>
        <v/>
      </c>
      <c r="D5" s="32">
        <f>UE_Summary!F3</f>
        <v/>
      </c>
      <c r="E5" s="32">
        <f>UE_Summary!G3</f>
        <v/>
      </c>
      <c r="F5" s="32">
        <f>UE_Summary!H3</f>
        <v/>
      </c>
      <c r="G5" s="32">
        <f>UE_Summary!I3</f>
        <v/>
      </c>
      <c r="H5" s="32">
        <f>UE_Summary!J3</f>
        <v/>
      </c>
      <c r="I5" s="32">
        <f>UE_Summary!K3</f>
        <v/>
      </c>
      <c r="J5" s="32">
        <f>UE_Summary!L3</f>
        <v/>
      </c>
      <c r="K5" s="32">
        <f>UE_Summary!M3</f>
        <v/>
      </c>
      <c r="L5" s="32">
        <f>UE_Summary!N3</f>
        <v/>
      </c>
      <c r="M5" s="33">
        <f>UE_Summary!O3</f>
        <v/>
      </c>
      <c r="N5" s="34">
        <f>UE_Summary!P3</f>
        <v/>
      </c>
      <c r="O5" s="32">
        <f>UE_Summary!Q3</f>
        <v/>
      </c>
      <c r="P5" s="32">
        <f>UE_Summary!R3</f>
        <v/>
      </c>
      <c r="Q5" s="34">
        <f>UE_Summary!S3</f>
        <v/>
      </c>
      <c r="R5" s="19">
        <f>UE_Summary!T3</f>
        <v/>
      </c>
    </row>
    <row r="6">
      <c r="A6" s="34">
        <f>UE_Summary!A5</f>
        <v/>
      </c>
      <c r="B6" s="31">
        <f>UE_Summary!D5</f>
        <v/>
      </c>
      <c r="C6" s="32">
        <f>UE_Summary!E5</f>
        <v/>
      </c>
      <c r="D6" s="32">
        <f>UE_Summary!F5</f>
        <v/>
      </c>
      <c r="E6" s="32">
        <f>UE_Summary!G5</f>
        <v/>
      </c>
      <c r="F6" s="32">
        <f>UE_Summary!H5</f>
        <v/>
      </c>
      <c r="G6" s="32">
        <f>UE_Summary!I5</f>
        <v/>
      </c>
      <c r="H6" s="32">
        <f>UE_Summary!J5</f>
        <v/>
      </c>
      <c r="I6" s="32">
        <f>UE_Summary!K5</f>
        <v/>
      </c>
      <c r="J6" s="32">
        <f>UE_Summary!L5</f>
        <v/>
      </c>
      <c r="K6" s="32">
        <f>UE_Summary!M5</f>
        <v/>
      </c>
      <c r="L6" s="32">
        <f>UE_Summary!N5</f>
        <v/>
      </c>
      <c r="M6" s="33">
        <f>UE_Summary!O5</f>
        <v/>
      </c>
      <c r="N6" s="34">
        <f>UE_Summary!P5</f>
        <v/>
      </c>
      <c r="O6" s="32">
        <f>UE_Summary!Q5</f>
        <v/>
      </c>
      <c r="P6" s="32">
        <f>UE_Summary!R5</f>
        <v/>
      </c>
      <c r="Q6" s="34">
        <f>UE_Summary!S5</f>
        <v/>
      </c>
      <c r="R6" s="19">
        <f>UE_Summary!T5</f>
        <v/>
      </c>
    </row>
  </sheetData>
  <mergeCells count="1"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8" customHeight="1">
      <c r="A1" s="1" t="inlineStr">
        <is>
          <t>🏠  COL02 — Team 2  (Colombia)</t>
        </is>
      </c>
    </row>
    <row r="2">
      <c r="A2" s="35" t="inlineStr">
        <is>
          <t>Launch Date:</t>
        </is>
      </c>
      <c r="B2" s="36" t="inlineStr">
        <is>
          <t>2026-02-01</t>
        </is>
      </c>
      <c r="C2" s="35" t="inlineStr">
        <is>
          <t>Status:</t>
        </is>
      </c>
      <c r="D2" s="36" t="inlineStr">
        <is>
          <t>Active</t>
        </is>
      </c>
      <c r="E2" s="35" t="inlineStr">
        <is>
          <t>Market:</t>
        </is>
      </c>
      <c r="F2" s="36" t="inlineStr">
        <is>
          <t>Colombia</t>
        </is>
      </c>
    </row>
    <row r="4">
      <c r="A4" s="3" t="inlineStr">
        <is>
          <t>Month</t>
        </is>
      </c>
      <c r="B4" s="3" t="inlineStr">
        <is>
          <t>Diamonds</t>
        </is>
      </c>
      <c r="C4" s="3" t="inlineStr">
        <is>
          <t>Revenue</t>
        </is>
      </c>
      <c r="D4" s="3" t="inlineStr">
        <is>
          <t>Creator Sal.</t>
        </is>
      </c>
      <c r="E4" s="3" t="inlineStr">
        <is>
          <t>Staff Cost</t>
        </is>
      </c>
      <c r="F4" s="3" t="inlineStr">
        <is>
          <t>Rent</t>
        </is>
      </c>
      <c r="G4" s="3" t="inlineStr">
        <is>
          <t>Utility</t>
        </is>
      </c>
      <c r="H4" s="3" t="inlineStr">
        <is>
          <t>Buffer</t>
        </is>
      </c>
      <c r="I4" s="3" t="inlineStr">
        <is>
          <t>Admin</t>
        </is>
      </c>
      <c r="J4" s="3" t="inlineStr">
        <is>
          <t>Other</t>
        </is>
      </c>
      <c r="K4" s="3" t="inlineStr">
        <is>
          <t>Total Cost</t>
        </is>
      </c>
      <c r="L4" s="3" t="inlineStr">
        <is>
          <t>Gross Profit</t>
        </is>
      </c>
      <c r="M4" s="3" t="inlineStr">
        <is>
          <t>Margin %</t>
        </is>
      </c>
      <c r="N4" s="3" t="inlineStr">
        <is>
          <t>Stage</t>
        </is>
      </c>
      <c r="O4" s="3" t="inlineStr">
        <is>
          <t>Cumul. Net</t>
        </is>
      </c>
      <c r="P4" s="3" t="inlineStr">
        <is>
          <t>Initial Invest.</t>
        </is>
      </c>
      <c r="Q4" s="3" t="inlineStr">
        <is>
          <t>Recovered?</t>
        </is>
      </c>
      <c r="R4" s="3" t="inlineStr">
        <is>
          <t>Month #</t>
        </is>
      </c>
    </row>
    <row r="5">
      <c r="A5" s="34">
        <f>UE_Summary!A4</f>
        <v/>
      </c>
      <c r="B5" s="31">
        <f>UE_Summary!D4</f>
        <v/>
      </c>
      <c r="C5" s="32">
        <f>UE_Summary!E4</f>
        <v/>
      </c>
      <c r="D5" s="32">
        <f>UE_Summary!F4</f>
        <v/>
      </c>
      <c r="E5" s="32">
        <f>UE_Summary!G4</f>
        <v/>
      </c>
      <c r="F5" s="32">
        <f>UE_Summary!H4</f>
        <v/>
      </c>
      <c r="G5" s="32">
        <f>UE_Summary!I4</f>
        <v/>
      </c>
      <c r="H5" s="32">
        <f>UE_Summary!J4</f>
        <v/>
      </c>
      <c r="I5" s="32">
        <f>UE_Summary!K4</f>
        <v/>
      </c>
      <c r="J5" s="32">
        <f>UE_Summary!L4</f>
        <v/>
      </c>
      <c r="K5" s="32">
        <f>UE_Summary!M4</f>
        <v/>
      </c>
      <c r="L5" s="32">
        <f>UE_Summary!N4</f>
        <v/>
      </c>
      <c r="M5" s="33">
        <f>UE_Summary!O4</f>
        <v/>
      </c>
      <c r="N5" s="34">
        <f>UE_Summary!P4</f>
        <v/>
      </c>
      <c r="O5" s="32">
        <f>UE_Summary!Q4</f>
        <v/>
      </c>
      <c r="P5" s="32">
        <f>UE_Summary!R4</f>
        <v/>
      </c>
      <c r="Q5" s="34">
        <f>UE_Summary!S4</f>
        <v/>
      </c>
      <c r="R5" s="19">
        <f>UE_Summary!T4</f>
        <v/>
      </c>
    </row>
    <row r="6">
      <c r="A6" s="34">
        <f>UE_Summary!A6</f>
        <v/>
      </c>
      <c r="B6" s="31">
        <f>UE_Summary!D6</f>
        <v/>
      </c>
      <c r="C6" s="32">
        <f>UE_Summary!E6</f>
        <v/>
      </c>
      <c r="D6" s="32">
        <f>UE_Summary!F6</f>
        <v/>
      </c>
      <c r="E6" s="32">
        <f>UE_Summary!G6</f>
        <v/>
      </c>
      <c r="F6" s="32">
        <f>UE_Summary!H6</f>
        <v/>
      </c>
      <c r="G6" s="32">
        <f>UE_Summary!I6</f>
        <v/>
      </c>
      <c r="H6" s="32">
        <f>UE_Summary!J6</f>
        <v/>
      </c>
      <c r="I6" s="32">
        <f>UE_Summary!K6</f>
        <v/>
      </c>
      <c r="J6" s="32">
        <f>UE_Summary!L6</f>
        <v/>
      </c>
      <c r="K6" s="32">
        <f>UE_Summary!M6</f>
        <v/>
      </c>
      <c r="L6" s="32">
        <f>UE_Summary!N6</f>
        <v/>
      </c>
      <c r="M6" s="33">
        <f>UE_Summary!O6</f>
        <v/>
      </c>
      <c r="N6" s="34">
        <f>UE_Summary!P6</f>
        <v/>
      </c>
      <c r="O6" s="32">
        <f>UE_Summary!Q6</f>
        <v/>
      </c>
      <c r="P6" s="32">
        <f>UE_Summary!R6</f>
        <v/>
      </c>
      <c r="Q6" s="34">
        <f>UE_Summary!S6</f>
        <v/>
      </c>
      <c r="R6" s="19">
        <f>UE_Summary!T6</f>
        <v/>
      </c>
    </row>
  </sheetData>
  <mergeCells count="1">
    <mergeCell ref="A1:Q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2026-03-31T15:09:49Z</dcterms:created>
  <dcterms:modified xmlns:dcterms="http://purl.org/dc/terms/" xmlns:xsi="http://www.w3.org/2001/XMLSchema-instance" xsi:type="dcterms:W3CDTF">2026-03-31T15:09:49Z</dcterms:modified>
</cp:coreProperties>
</file>