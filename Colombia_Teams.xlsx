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Monthly_Data" sheetId="3" state="visible" r:id="rId3"/>
    <sheet xmlns:r="http://schemas.openxmlformats.org/officeDocument/2006/relationships" name="UE_Summary" sheetId="4" state="visible" r:id="rId4"/>
    <sheet xmlns:r="http://schemas.openxmlformats.org/officeDocument/2006/relationships" name="Team_Lion01" sheetId="5" state="visible" r:id="rId5"/>
    <sheet xmlns:r="http://schemas.openxmlformats.org/officeDocument/2006/relationships" name="Team_Lion02" sheetId="6" state="visible" r:id="rId6"/>
    <sheet xmlns:r="http://schemas.openxmlformats.org/officeDocument/2006/relationships" name="Team_Lion03" sheetId="7" state="visible" r:id="rId7"/>
    <sheet xmlns:r="http://schemas.openxmlformats.org/officeDocument/2006/relationships" name="Team_Lion04" sheetId="8" state="visible" r:id="rId8"/>
    <sheet xmlns:r="http://schemas.openxmlformats.org/officeDocument/2006/relationships" name="Team_Lion05" sheetId="9" state="visible" r:id="rId9"/>
    <sheet xmlns:r="http://schemas.openxmlformats.org/officeDocument/2006/relationships" name="Team_Lion06" sheetId="10" state="visible" r:id="rId10"/>
    <sheet xmlns:r="http://schemas.openxmlformats.org/officeDocument/2006/relationships" name="Team_Lion07" sheetId="11" state="visible" r:id="rId11"/>
    <sheet xmlns:r="http://schemas.openxmlformats.org/officeDocument/2006/relationships" name="Team_Lion08" sheetId="12" state="visible" r:id="rId12"/>
    <sheet xmlns:r="http://schemas.openxmlformats.org/officeDocument/2006/relationships" name="Team_Lion09" sheetId="13" state="visible" r:id="rId13"/>
    <sheet xmlns:r="http://schemas.openxmlformats.org/officeDocument/2006/relationships" name="Team_Lion10" sheetId="14" state="visible" r:id="rId14"/>
  </sheets>
  <definedNames>
    <definedName name="CONFIG_TAKE_RATE">'Config'!$B$23</definedName>
    <definedName name="CONFIG_DIAMOND_RATE">'Config'!$B$24</definedName>
    <definedName name="CONFIG_RENT">'Config'!$B$25</definedName>
    <definedName name="CONFIG_UTILITY">'Config'!$B$26</definedName>
    <definedName name="CONFIG_BUFFER">'Config'!$B$27</definedName>
    <definedName name="CONFIG_DEFAULT_INITIAL_INVEST">'Config'!$B$28</definedName>
    <definedName name="CONFIG_CREATOR_BASE">'Config'!$B$29</definedName>
    <definedName name="CONFIG_CREATOR_REVSHARE">'Config'!$B$30</definedName>
    <definedName name="CONFIG_STAGE_BE">'Config'!$B$35</definedName>
    <definedName name="CONFIG_STAGE_STB">'Config'!$B$36</definedName>
    <definedName name="CONFIG_STAGE_OPT">'Config'!$B$37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$0.0000"/>
    <numFmt numFmtId="167" formatCode="$#,##0.00"/>
    <numFmt numFmtId="168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666666"/>
      <sz val="9"/>
    </font>
    <font>
      <name val="Arial"/>
      <color rgb="00AAAAAA"/>
      <sz val="10"/>
    </font>
    <font>
      <name val="Arial"/>
      <i val="1"/>
      <color rgb="00444444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7"/>
      </patternFill>
    </fill>
    <fill>
      <patternFill patternType="solid">
        <fgColor rgb="00FFF2CC"/>
      </patternFill>
    </fill>
    <fill>
      <patternFill patternType="solid">
        <fgColor rgb="00EBEBEB"/>
      </patternFill>
    </fill>
    <fill>
      <patternFill patternType="solid">
        <fgColor rgb="00DDEEFF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4" borderId="1" applyAlignment="1" pivotButton="0" quotePrefix="0" xfId="0">
      <alignment horizontal="left" vertical="center"/>
    </xf>
    <xf numFmtId="9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6" borderId="0" pivotButton="0" quotePrefix="0" xfId="0"/>
    <xf numFmtId="0" fontId="7" fillId="0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/>
    </xf>
    <xf numFmtId="1" fontId="4" fillId="8" borderId="1" applyAlignment="1" pivotButton="0" quotePrefix="0" xfId="0">
      <alignment horizontal="center" vertical="center" wrapText="1"/>
    </xf>
    <xf numFmtId="2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right" vertical="center"/>
    </xf>
    <xf numFmtId="0" fontId="3" fillId="4" borderId="1" pivotButton="0" quotePrefix="0" xfId="0"/>
    <xf numFmtId="165" fontId="3" fillId="4" borderId="1" pivotButton="0" quotePrefix="0" xfId="0"/>
    <xf numFmtId="167" fontId="3" fillId="4" borderId="1" pivotButton="0" quotePrefix="0" xfId="0"/>
    <xf numFmtId="0" fontId="6" fillId="6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3" fontId="4" fillId="5" borderId="1" pivotButton="0" quotePrefix="0" xfId="0"/>
    <xf numFmtId="1" fontId="4" fillId="5" borderId="1" pivotButton="0" quotePrefix="0" xfId="0"/>
    <xf numFmtId="165" fontId="4" fillId="7" borderId="1" pivotButton="0" quotePrefix="0" xfId="0"/>
    <xf numFmtId="3" fontId="6" fillId="6" borderId="1" pivotButton="0" quotePrefix="0" xfId="0"/>
    <xf numFmtId="1" fontId="6" fillId="6" borderId="1" pivotButton="0" quotePrefix="0" xfId="0"/>
    <xf numFmtId="165" fontId="6" fillId="6" borderId="1" pivotButton="0" quotePrefix="0" xfId="0"/>
    <xf numFmtId="165" fontId="4" fillId="5" borderId="1" pivotButton="0" quotePrefix="0" xfId="0"/>
    <xf numFmtId="3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168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3" fontId="6" fillId="6" borderId="1" applyAlignment="1" pivotButton="0" quotePrefix="0" xfId="0">
      <alignment horizontal="center" vertical="center" wrapText="1"/>
    </xf>
    <xf numFmtId="167" fontId="6" fillId="6" borderId="1" applyAlignment="1" pivotButton="0" quotePrefix="0" xfId="0">
      <alignment horizontal="center" vertical="center" wrapText="1"/>
    </xf>
    <xf numFmtId="168" fontId="6" fillId="6" borderId="1" applyAlignment="1" pivotButton="0" quotePrefix="0" xfId="0">
      <alignment horizontal="center" vertical="center" wrapText="1"/>
    </xf>
    <xf numFmtId="1" fontId="6" fillId="6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Lion01 — Cumulative Net Profit vs Break-even</a:t>
            </a:r>
          </a:p>
        </rich>
      </tx>
    </title>
    <plotArea>
      <lineChart>
        <grouping val="standard"/>
        <ser>
          <idx val="0"/>
          <order val="0"/>
          <tx>
            <v>Cumulative Net Profit</v>
          </tx>
          <spPr>
            <a:ln xmlns:a="http://schemas.openxmlformats.org/drawingml/2006/main" w="20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'Team_Lion01'!$A$5:$A$6</f>
            </numRef>
          </cat>
          <val>
            <numRef>
              <f>'Team_Lion01'!$O$5:$O$6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Lion02 — Cumulative Net Profit vs Break-even</a:t>
            </a:r>
          </a:p>
        </rich>
      </tx>
    </title>
    <plotArea>
      <lineChart>
        <grouping val="standard"/>
        <ser>
          <idx val="0"/>
          <order val="0"/>
          <tx>
            <v>Cumulative Net Profit</v>
          </tx>
          <spPr>
            <a:ln xmlns:a="http://schemas.openxmlformats.org/drawingml/2006/main" w="20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'Team_Lion02'!$A$5:$A$6</f>
            </numRef>
          </cat>
          <val>
            <numRef>
              <f>'Team_Lion02'!$O$5:$O$6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8" customWidth="1" min="5" max="5"/>
    <col width="18" customWidth="1" min="6" max="6"/>
    <col width="28" customWidth="1" min="7" max="7"/>
  </cols>
  <sheetData>
    <row r="1" ht="28" customHeight="1">
      <c r="A1" s="1" t="inlineStr">
        <is>
          <t>⚙️  CONFIG — Edit here to manage teams and assumptions</t>
        </is>
      </c>
    </row>
    <row r="3">
      <c r="A3" s="2" t="inlineStr">
        <is>
          <t>TEAM REGISTRY  ←  Change Status to activate/close teams (no script needed)</t>
        </is>
      </c>
    </row>
    <row r="4">
      <c r="A4" s="3" t="inlineStr">
        <is>
          <t>Team ID</t>
        </is>
      </c>
      <c r="B4" s="3" t="inlineStr">
        <is>
          <t>Team Name</t>
        </is>
      </c>
      <c r="C4" s="3" t="inlineStr">
        <is>
          <t>Market</t>
        </is>
      </c>
      <c r="D4" s="3" t="inlineStr">
        <is>
          <t>Launch Date</t>
        </is>
      </c>
      <c r="E4" s="3" t="inlineStr">
        <is>
          <t>Status</t>
        </is>
      </c>
      <c r="F4" s="3" t="inlineStr">
        <is>
          <t>Initial Invest ($)</t>
        </is>
      </c>
    </row>
    <row r="5">
      <c r="A5" s="3" t="inlineStr">
        <is>
          <t>Lion01</t>
        </is>
      </c>
      <c r="B5" s="4" t="inlineStr">
        <is>
          <t>Tropi</t>
        </is>
      </c>
      <c r="C5" s="4" t="inlineStr">
        <is>
          <t>Colombia</t>
        </is>
      </c>
      <c r="D5" s="5" t="inlineStr">
        <is>
          <t>2025-09-01</t>
        </is>
      </c>
      <c r="E5" s="6" t="inlineStr">
        <is>
          <t>Active</t>
        </is>
      </c>
      <c r="F5" s="7" t="n">
        <v>11430</v>
      </c>
      <c r="G5" s="8" t="inlineStr"/>
    </row>
    <row r="6">
      <c r="A6" s="3" t="inlineStr">
        <is>
          <t>Lion02</t>
        </is>
      </c>
      <c r="B6" s="4" t="inlineStr">
        <is>
          <t>Kangri</t>
        </is>
      </c>
      <c r="C6" s="4" t="inlineStr">
        <is>
          <t>Colombia</t>
        </is>
      </c>
      <c r="D6" s="5" t="inlineStr">
        <is>
          <t>2026-02-01</t>
        </is>
      </c>
      <c r="E6" s="6" t="inlineStr">
        <is>
          <t>Active</t>
        </is>
      </c>
      <c r="F6" s="7" t="n">
        <v>11430</v>
      </c>
      <c r="G6" s="8" t="inlineStr"/>
    </row>
    <row r="7">
      <c r="A7" s="3" t="inlineStr">
        <is>
          <t>Lion03</t>
        </is>
      </c>
      <c r="B7" s="9" t="inlineStr"/>
      <c r="C7" s="9" t="inlineStr">
        <is>
          <t>Colombia</t>
        </is>
      </c>
      <c r="D7" s="10" t="n"/>
      <c r="E7" s="11" t="inlineStr">
        <is>
          <t>Not Launched Yet</t>
        </is>
      </c>
      <c r="F7" s="7" t="n">
        <v>11430</v>
      </c>
      <c r="G7" s="8" t="inlineStr">
        <is>
          <t>← Change Status to activate</t>
        </is>
      </c>
    </row>
    <row r="8">
      <c r="A8" s="3" t="inlineStr">
        <is>
          <t>Lion04</t>
        </is>
      </c>
      <c r="B8" s="9" t="inlineStr"/>
      <c r="C8" s="9" t="inlineStr">
        <is>
          <t>Colombia</t>
        </is>
      </c>
      <c r="D8" s="10" t="n"/>
      <c r="E8" s="11" t="inlineStr">
        <is>
          <t>Not Launched Yet</t>
        </is>
      </c>
      <c r="F8" s="7" t="n">
        <v>11430</v>
      </c>
      <c r="G8" s="8" t="inlineStr">
        <is>
          <t>← Change Status to activate</t>
        </is>
      </c>
    </row>
    <row r="9">
      <c r="A9" s="3" t="inlineStr">
        <is>
          <t>Lion05</t>
        </is>
      </c>
      <c r="B9" s="9" t="inlineStr"/>
      <c r="C9" s="9" t="inlineStr">
        <is>
          <t>Colombia</t>
        </is>
      </c>
      <c r="D9" s="10" t="n"/>
      <c r="E9" s="11" t="inlineStr">
        <is>
          <t>Not Launched Yet</t>
        </is>
      </c>
      <c r="F9" s="7" t="n">
        <v>11430</v>
      </c>
      <c r="G9" s="8" t="inlineStr">
        <is>
          <t>← Change Status to activate</t>
        </is>
      </c>
    </row>
    <row r="10">
      <c r="A10" s="3" t="inlineStr">
        <is>
          <t>Lion06</t>
        </is>
      </c>
      <c r="B10" s="9" t="inlineStr"/>
      <c r="C10" s="9" t="inlineStr">
        <is>
          <t>Colombia</t>
        </is>
      </c>
      <c r="D10" s="10" t="n"/>
      <c r="E10" s="11" t="inlineStr">
        <is>
          <t>Not Launched Yet</t>
        </is>
      </c>
      <c r="F10" s="7" t="n">
        <v>11430</v>
      </c>
      <c r="G10" s="8" t="inlineStr">
        <is>
          <t>← Change Status to activate</t>
        </is>
      </c>
    </row>
    <row r="11">
      <c r="A11" s="3" t="inlineStr">
        <is>
          <t>Lion07</t>
        </is>
      </c>
      <c r="B11" s="9" t="inlineStr"/>
      <c r="C11" s="9" t="inlineStr">
        <is>
          <t>Colombia</t>
        </is>
      </c>
      <c r="D11" s="10" t="n"/>
      <c r="E11" s="11" t="inlineStr">
        <is>
          <t>Not Launched Yet</t>
        </is>
      </c>
      <c r="F11" s="7" t="n">
        <v>11430</v>
      </c>
      <c r="G11" s="8" t="inlineStr">
        <is>
          <t>← Change Status to activate</t>
        </is>
      </c>
    </row>
    <row r="12">
      <c r="A12" s="3" t="inlineStr">
        <is>
          <t>Lion08</t>
        </is>
      </c>
      <c r="B12" s="9" t="inlineStr"/>
      <c r="C12" s="9" t="inlineStr">
        <is>
          <t>Colombia</t>
        </is>
      </c>
      <c r="D12" s="10" t="n"/>
      <c r="E12" s="11" t="inlineStr">
        <is>
          <t>Not Launched Yet</t>
        </is>
      </c>
      <c r="F12" s="7" t="n">
        <v>11430</v>
      </c>
      <c r="G12" s="8" t="inlineStr">
        <is>
          <t>← Change Status to activate</t>
        </is>
      </c>
    </row>
    <row r="13">
      <c r="A13" s="3" t="inlineStr">
        <is>
          <t>Lion09</t>
        </is>
      </c>
      <c r="B13" s="9" t="inlineStr"/>
      <c r="C13" s="9" t="inlineStr">
        <is>
          <t>Colombia</t>
        </is>
      </c>
      <c r="D13" s="10" t="n"/>
      <c r="E13" s="11" t="inlineStr">
        <is>
          <t>Not Launched Yet</t>
        </is>
      </c>
      <c r="F13" s="7" t="n">
        <v>11430</v>
      </c>
      <c r="G13" s="8" t="inlineStr">
        <is>
          <t>← Change Status to activate</t>
        </is>
      </c>
    </row>
    <row r="14">
      <c r="A14" s="3" t="inlineStr">
        <is>
          <t>Lion10</t>
        </is>
      </c>
      <c r="B14" s="9" t="inlineStr"/>
      <c r="C14" s="9" t="inlineStr">
        <is>
          <t>Colombia</t>
        </is>
      </c>
      <c r="D14" s="10" t="n"/>
      <c r="E14" s="11" t="inlineStr">
        <is>
          <t>Not Launched Yet</t>
        </is>
      </c>
      <c r="F14" s="7" t="n">
        <v>11430</v>
      </c>
      <c r="G14" s="8" t="inlineStr">
        <is>
          <t>← Change Status to activate</t>
        </is>
      </c>
    </row>
    <row r="16">
      <c r="A16" s="12" t="inlineStr">
        <is>
          <t>Status key:</t>
        </is>
      </c>
      <c r="B16" s="13" t="inlineStr">
        <is>
          <t>Not Launched Yet = Slot reserved, not started</t>
        </is>
      </c>
    </row>
    <row r="17">
      <c r="C17" s="13" t="inlineStr">
        <is>
          <t>准备中 = Pre-launch costs accumulating, no revenue</t>
        </is>
      </c>
    </row>
    <row r="18">
      <c r="D18" s="13" t="inlineStr">
        <is>
          <t>Active = Fully operational</t>
        </is>
      </c>
    </row>
    <row r="19">
      <c r="E19" s="13" t="inlineStr">
        <is>
          <t>Closed = Historical data preserved</t>
        </is>
      </c>
    </row>
    <row r="22">
      <c r="A22" s="2" t="inlineStr">
        <is>
          <t>UE ASSUMPTIONS  (edit yellow cells — apply to all teams unless overridden)</t>
        </is>
      </c>
    </row>
    <row r="23">
      <c r="A23" s="14" t="inlineStr">
        <is>
          <t>Take Rate</t>
        </is>
      </c>
      <c r="B23" s="15" t="n">
        <v>0.65</v>
      </c>
      <c r="C23" s="13" t="inlineStr">
        <is>
          <t>← Named: CONFIG_TAKE_RATE</t>
        </is>
      </c>
    </row>
    <row r="24">
      <c r="A24" s="14" t="inlineStr">
        <is>
          <t>Diamond → USD rate</t>
        </is>
      </c>
      <c r="B24" s="16" t="n">
        <v>0.01</v>
      </c>
      <c r="C24" s="13" t="inlineStr">
        <is>
          <t>← Named: CONFIG_DIAMOND_RATE</t>
        </is>
      </c>
    </row>
    <row r="25">
      <c r="A25" s="14" t="inlineStr">
        <is>
          <t>Monthly Rent (USD)</t>
        </is>
      </c>
      <c r="B25" s="7" t="n">
        <v>600</v>
      </c>
      <c r="C25" s="13" t="inlineStr">
        <is>
          <t>← Named: CONFIG_RENT</t>
        </is>
      </c>
    </row>
    <row r="26">
      <c r="A26" s="14" t="inlineStr">
        <is>
          <t>Monthly Utility (USD)</t>
        </is>
      </c>
      <c r="B26" s="7" t="n">
        <v>800</v>
      </c>
      <c r="C26" s="13" t="inlineStr">
        <is>
          <t>← Named: CONFIG_UTILITY</t>
        </is>
      </c>
    </row>
    <row r="27">
      <c r="A27" s="14" t="inlineStr">
        <is>
          <t>Monthly Buffer (USD)</t>
        </is>
      </c>
      <c r="B27" s="7" t="n">
        <v>1000</v>
      </c>
      <c r="C27" s="13" t="inlineStr">
        <is>
          <t>← Named: CONFIG_BUFFER</t>
        </is>
      </c>
    </row>
    <row r="28">
      <c r="A28" s="14" t="inlineStr">
        <is>
          <t>Default Initial Invest</t>
        </is>
      </c>
      <c r="B28" s="7" t="n">
        <v>11430</v>
      </c>
      <c r="C28" s="13" t="inlineStr">
        <is>
          <t>← Named: CONFIG_DEFAULT_INITIAL_INVEST</t>
        </is>
      </c>
    </row>
    <row r="29">
      <c r="A29" s="14" t="inlineStr">
        <is>
          <t>Creator Base Salary</t>
        </is>
      </c>
      <c r="B29" s="7" t="n">
        <v>500</v>
      </c>
      <c r="C29" s="13" t="inlineStr">
        <is>
          <t>← Named: CONFIG_CREATOR_BASE</t>
        </is>
      </c>
    </row>
    <row r="30">
      <c r="A30" s="14" t="inlineStr">
        <is>
          <t>Revenue Share %</t>
        </is>
      </c>
      <c r="B30" s="15" t="n">
        <v>0.25</v>
      </c>
      <c r="C30" s="13" t="inlineStr">
        <is>
          <t>← Named: CONFIG_CREATOR_REVSHARE</t>
        </is>
      </c>
    </row>
    <row r="32">
      <c r="A32" s="2" t="inlineStr">
        <is>
          <t>STAGE THRESHOLDS (diamonds / month)</t>
        </is>
      </c>
    </row>
    <row r="33">
      <c r="A33" s="3" t="inlineStr">
        <is>
          <t>Stage</t>
        </is>
      </c>
      <c r="B33" s="3" t="inlineStr">
        <is>
          <t>Min Diamonds (≥)</t>
        </is>
      </c>
    </row>
    <row r="34">
      <c r="A34" s="17" t="inlineStr">
        <is>
          <t>🌱 Incubation</t>
        </is>
      </c>
      <c r="B34" s="18" t="n">
        <v>0</v>
      </c>
    </row>
    <row r="35">
      <c r="A35" s="17" t="inlineStr">
        <is>
          <t>⚠️ Breakeven</t>
        </is>
      </c>
      <c r="B35" s="18" t="n">
        <v>500000</v>
      </c>
    </row>
    <row r="36">
      <c r="A36" s="17" t="inlineStr">
        <is>
          <t>✅ Stable</t>
        </is>
      </c>
      <c r="B36" s="18" t="n">
        <v>1060000</v>
      </c>
    </row>
    <row r="37">
      <c r="A37" s="17" t="inlineStr">
        <is>
          <t>🚀 Optimistic</t>
        </is>
      </c>
      <c r="B37" s="18" t="n">
        <v>2000000</v>
      </c>
    </row>
    <row r="39">
      <c r="A39" s="2" t="inlineStr">
        <is>
          <t>LEGEND</t>
        </is>
      </c>
    </row>
    <row r="40">
      <c r="A40" s="19" t="n"/>
      <c r="B40" s="13" t="inlineStr">
        <is>
          <t>Yellow = Data entry required</t>
        </is>
      </c>
    </row>
    <row r="41">
      <c r="A41" s="20" t="n"/>
      <c r="B41" s="13" t="inlineStr">
        <is>
          <t>Blue   = Actual override (blank → use Config assumption)</t>
        </is>
      </c>
    </row>
    <row r="42">
      <c r="A42" s="21" t="n"/>
      <c r="B42" s="13" t="inlineStr">
        <is>
          <t>Grey   = Auto-calculated — do not edit</t>
        </is>
      </c>
    </row>
    <row r="43">
      <c r="A43" s="22" t="n"/>
      <c r="B43" s="13" t="inlineStr">
        <is>
          <t>Light grey = Team slot not yet activated</t>
        </is>
      </c>
    </row>
  </sheetData>
  <mergeCells count="5">
    <mergeCell ref="A1:G1"/>
    <mergeCell ref="A32:C32"/>
    <mergeCell ref="A3:G3"/>
    <mergeCell ref="A22:C22"/>
    <mergeCell ref="A39:B39"/>
  </mergeCells>
  <dataValidations count="1">
    <dataValidation sqref="E5 E6 E7 E8 E9 E10 E11 E12 E13 E14" showDropDown="0" showInputMessage="0" showErrorMessage="1" allowBlank="0" errorTitle="Invalid status" error="Choose: Not Launched Yet / 准备中 / Active / Closed" type="list">
      <formula1>"Not Launched Yet,准备中,Active,Closed"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 ht="28" customHeight="1">
      <c r="A1" s="1" t="inlineStr">
        <is>
          <t>👥  STAFF — Mark "✓" to assign teams; allocation &amp; cost auto-calculate</t>
        </is>
      </c>
    </row>
    <row r="2">
      <c r="A2" s="23" t="inlineStr">
        <is>
          <t>Alloc Coeff = 1 ÷ Teams Covered.  Per-team cost = Salary × Coeff (if assigned).  Add new staff rows freely — SUM range covers up to row 200.</t>
        </is>
      </c>
    </row>
    <row r="3">
      <c r="A3" s="3" t="inlineStr">
        <is>
          <t>Staff Name</t>
        </is>
      </c>
      <c r="B3" s="3" t="inlineStr">
        <is>
          <t>Role</t>
        </is>
      </c>
      <c r="C3" s="3" t="inlineStr">
        <is>
          <t>Salary (USD)</t>
        </is>
      </c>
      <c r="D3" s="3" t="inlineStr">
        <is>
          <t>Lion01</t>
        </is>
      </c>
      <c r="E3" s="3" t="inlineStr">
        <is>
          <t>Lion02</t>
        </is>
      </c>
      <c r="F3" s="9" t="inlineStr">
        <is>
          <t>Lion03</t>
        </is>
      </c>
      <c r="G3" s="9" t="inlineStr">
        <is>
          <t>Lion04</t>
        </is>
      </c>
      <c r="H3" s="9" t="inlineStr">
        <is>
          <t>Lion05</t>
        </is>
      </c>
      <c r="I3" s="9" t="inlineStr">
        <is>
          <t>Lion06</t>
        </is>
      </c>
      <c r="J3" s="9" t="inlineStr">
        <is>
          <t>Lion07</t>
        </is>
      </c>
      <c r="K3" s="9" t="inlineStr">
        <is>
          <t>Lion08</t>
        </is>
      </c>
      <c r="L3" s="9" t="inlineStr">
        <is>
          <t>Lion09</t>
        </is>
      </c>
      <c r="M3" s="9" t="inlineStr">
        <is>
          <t>Lion10</t>
        </is>
      </c>
      <c r="N3" s="24" t="inlineStr">
        <is>
          <t>Teams
Covered</t>
        </is>
      </c>
      <c r="O3" s="24" t="inlineStr">
        <is>
          <t>Alloc
Coeff</t>
        </is>
      </c>
      <c r="P3" s="24" t="inlineStr">
        <is>
          <t>Lion01
Cost</t>
        </is>
      </c>
      <c r="Q3" s="24" t="inlineStr">
        <is>
          <t>Lion02
Cost</t>
        </is>
      </c>
      <c r="R3" s="9" t="inlineStr">
        <is>
          <t>Lion03
Cost</t>
        </is>
      </c>
      <c r="S3" s="9" t="inlineStr">
        <is>
          <t>Lion04
Cost</t>
        </is>
      </c>
      <c r="T3" s="9" t="inlineStr">
        <is>
          <t>Lion05
Cost</t>
        </is>
      </c>
      <c r="U3" s="9" t="inlineStr">
        <is>
          <t>Lion06
Cost</t>
        </is>
      </c>
      <c r="V3" s="9" t="inlineStr">
        <is>
          <t>Lion07
Cost</t>
        </is>
      </c>
      <c r="W3" s="9" t="inlineStr">
        <is>
          <t>Lion08
Cost</t>
        </is>
      </c>
      <c r="X3" s="9" t="inlineStr">
        <is>
          <t>Lion09
Cost</t>
        </is>
      </c>
      <c r="Y3" s="9" t="inlineStr">
        <is>
          <t>Lion10
Cost</t>
        </is>
      </c>
    </row>
    <row r="4">
      <c r="A4" s="17" t="inlineStr">
        <is>
          <t>Ops Manager</t>
        </is>
      </c>
      <c r="B4" s="17" t="inlineStr">
        <is>
          <t>Operations</t>
        </is>
      </c>
      <c r="C4" s="25" t="n">
        <v>800</v>
      </c>
      <c r="D4" s="4" t="inlineStr">
        <is>
          <t>✓</t>
        </is>
      </c>
      <c r="E4" s="4" t="inlineStr">
        <is>
          <t>✓</t>
        </is>
      </c>
      <c r="F4" s="9" t="inlineStr"/>
      <c r="G4" s="9" t="inlineStr"/>
      <c r="H4" s="9" t="inlineStr"/>
      <c r="I4" s="9" t="inlineStr"/>
      <c r="J4" s="9" t="inlineStr"/>
      <c r="K4" s="9" t="inlineStr"/>
      <c r="L4" s="9" t="inlineStr"/>
      <c r="M4" s="9" t="inlineStr"/>
      <c r="N4" s="26">
        <f>COUNTIF(D4:M4,"✓")</f>
        <v/>
      </c>
      <c r="O4" s="27">
        <f>IF(N4=0,0,1/N4)</f>
        <v/>
      </c>
      <c r="P4" s="28">
        <f>IF(D4="✓",C4*O4,0)</f>
        <v/>
      </c>
      <c r="Q4" s="28">
        <f>IF(E4="✓",C4*O4,0)</f>
        <v/>
      </c>
      <c r="R4" s="28">
        <f>IF(F4="✓",C4*O4,0)</f>
        <v/>
      </c>
      <c r="S4" s="28">
        <f>IF(G4="✓",C4*O4,0)</f>
        <v/>
      </c>
      <c r="T4" s="28">
        <f>IF(H4="✓",C4*O4,0)</f>
        <v/>
      </c>
      <c r="U4" s="28">
        <f>IF(I4="✓",C4*O4,0)</f>
        <v/>
      </c>
      <c r="V4" s="28">
        <f>IF(J4="✓",C4*O4,0)</f>
        <v/>
      </c>
      <c r="W4" s="28">
        <f>IF(K4="✓",C4*O4,0)</f>
        <v/>
      </c>
      <c r="X4" s="28">
        <f>IF(L4="✓",C4*O4,0)</f>
        <v/>
      </c>
      <c r="Y4" s="28">
        <f>IF(M4="✓",C4*O4,0)</f>
        <v/>
      </c>
    </row>
    <row r="5">
      <c r="A5" s="17" t="inlineStr">
        <is>
          <t>Dance Teacher</t>
        </is>
      </c>
      <c r="B5" s="17" t="inlineStr">
        <is>
          <t>Dance Teacher</t>
        </is>
      </c>
      <c r="C5" s="25" t="n">
        <v>600</v>
      </c>
      <c r="D5" s="4" t="inlineStr">
        <is>
          <t>✓</t>
        </is>
      </c>
      <c r="E5" s="4" t="inlineStr"/>
      <c r="F5" s="9" t="inlineStr"/>
      <c r="G5" s="9" t="inlineStr"/>
      <c r="H5" s="9" t="inlineStr"/>
      <c r="I5" s="9" t="inlineStr"/>
      <c r="J5" s="9" t="inlineStr"/>
      <c r="K5" s="9" t="inlineStr"/>
      <c r="L5" s="9" t="inlineStr"/>
      <c r="M5" s="9" t="inlineStr"/>
      <c r="N5" s="26">
        <f>COUNTIF(D5:M5,"✓")</f>
        <v/>
      </c>
      <c r="O5" s="27">
        <f>IF(N5=0,0,1/N5)</f>
        <v/>
      </c>
      <c r="P5" s="28">
        <f>IF(D5="✓",C5*O5,0)</f>
        <v/>
      </c>
      <c r="Q5" s="28">
        <f>IF(E5="✓",C5*O5,0)</f>
        <v/>
      </c>
      <c r="R5" s="28">
        <f>IF(F5="✓",C5*O5,0)</f>
        <v/>
      </c>
      <c r="S5" s="28">
        <f>IF(G5="✓",C5*O5,0)</f>
        <v/>
      </c>
      <c r="T5" s="28">
        <f>IF(H5="✓",C5*O5,0)</f>
        <v/>
      </c>
      <c r="U5" s="28">
        <f>IF(I5="✓",C5*O5,0)</f>
        <v/>
      </c>
      <c r="V5" s="28">
        <f>IF(J5="✓",C5*O5,0)</f>
        <v/>
      </c>
      <c r="W5" s="28">
        <f>IF(K5="✓",C5*O5,0)</f>
        <v/>
      </c>
      <c r="X5" s="28">
        <f>IF(L5="✓",C5*O5,0)</f>
        <v/>
      </c>
      <c r="Y5" s="28">
        <f>IF(M5="✓",C5*O5,0)</f>
        <v/>
      </c>
    </row>
    <row r="6">
      <c r="A6" s="17" t="inlineStr">
        <is>
          <t>MUA</t>
        </is>
      </c>
      <c r="B6" s="17" t="inlineStr">
        <is>
          <t>MUA</t>
        </is>
      </c>
      <c r="C6" s="25" t="n">
        <v>500</v>
      </c>
      <c r="D6" s="4" t="inlineStr">
        <is>
          <t>✓</t>
        </is>
      </c>
      <c r="E6" s="4" t="inlineStr">
        <is>
          <t>✓</t>
        </is>
      </c>
      <c r="F6" s="9" t="inlineStr"/>
      <c r="G6" s="9" t="inlineStr"/>
      <c r="H6" s="9" t="inlineStr"/>
      <c r="I6" s="9" t="inlineStr"/>
      <c r="J6" s="9" t="inlineStr"/>
      <c r="K6" s="9" t="inlineStr"/>
      <c r="L6" s="9" t="inlineStr"/>
      <c r="M6" s="9" t="inlineStr"/>
      <c r="N6" s="26">
        <f>COUNTIF(D6:M6,"✓")</f>
        <v/>
      </c>
      <c r="O6" s="27">
        <f>IF(N6=0,0,1/N6)</f>
        <v/>
      </c>
      <c r="P6" s="28">
        <f>IF(D6="✓",C6*O6,0)</f>
        <v/>
      </c>
      <c r="Q6" s="28">
        <f>IF(E6="✓",C6*O6,0)</f>
        <v/>
      </c>
      <c r="R6" s="28">
        <f>IF(F6="✓",C6*O6,0)</f>
        <v/>
      </c>
      <c r="S6" s="28">
        <f>IF(G6="✓",C6*O6,0)</f>
        <v/>
      </c>
      <c r="T6" s="28">
        <f>IF(H6="✓",C6*O6,0)</f>
        <v/>
      </c>
      <c r="U6" s="28">
        <f>IF(I6="✓",C6*O6,0)</f>
        <v/>
      </c>
      <c r="V6" s="28">
        <f>IF(J6="✓",C6*O6,0)</f>
        <v/>
      </c>
      <c r="W6" s="28">
        <f>IF(K6="✓",C6*O6,0)</f>
        <v/>
      </c>
      <c r="X6" s="28">
        <f>IF(L6="✓",C6*O6,0)</f>
        <v/>
      </c>
      <c r="Y6" s="28">
        <f>IF(M6="✓",C6*O6,0)</f>
        <v/>
      </c>
    </row>
    <row r="7">
      <c r="A7" s="17" t="inlineStr">
        <is>
          <t>Tech Support</t>
        </is>
      </c>
      <c r="B7" s="17" t="inlineStr">
        <is>
          <t>Tech</t>
        </is>
      </c>
      <c r="C7" s="25" t="n">
        <v>400</v>
      </c>
      <c r="D7" s="4" t="inlineStr">
        <is>
          <t>✓</t>
        </is>
      </c>
      <c r="E7" s="4" t="inlineStr">
        <is>
          <t>✓</t>
        </is>
      </c>
      <c r="F7" s="9" t="inlineStr"/>
      <c r="G7" s="9" t="inlineStr"/>
      <c r="H7" s="9" t="inlineStr"/>
      <c r="I7" s="9" t="inlineStr"/>
      <c r="J7" s="9" t="inlineStr"/>
      <c r="K7" s="9" t="inlineStr"/>
      <c r="L7" s="9" t="inlineStr"/>
      <c r="M7" s="9" t="inlineStr"/>
      <c r="N7" s="26">
        <f>COUNTIF(D7:M7,"✓")</f>
        <v/>
      </c>
      <c r="O7" s="27">
        <f>IF(N7=0,0,1/N7)</f>
        <v/>
      </c>
      <c r="P7" s="28">
        <f>IF(D7="✓",C7*O7,0)</f>
        <v/>
      </c>
      <c r="Q7" s="28">
        <f>IF(E7="✓",C7*O7,0)</f>
        <v/>
      </c>
      <c r="R7" s="28">
        <f>IF(F7="✓",C7*O7,0)</f>
        <v/>
      </c>
      <c r="S7" s="28">
        <f>IF(G7="✓",C7*O7,0)</f>
        <v/>
      </c>
      <c r="T7" s="28">
        <f>IF(H7="✓",C7*O7,0)</f>
        <v/>
      </c>
      <c r="U7" s="28">
        <f>IF(I7="✓",C7*O7,0)</f>
        <v/>
      </c>
      <c r="V7" s="28">
        <f>IF(J7="✓",C7*O7,0)</f>
        <v/>
      </c>
      <c r="W7" s="28">
        <f>IF(K7="✓",C7*O7,0)</f>
        <v/>
      </c>
      <c r="X7" s="28">
        <f>IF(L7="✓",C7*O7,0)</f>
        <v/>
      </c>
      <c r="Y7" s="28">
        <f>IF(M7="✓",C7*O7,0)</f>
        <v/>
      </c>
    </row>
    <row r="8">
      <c r="A8" s="29" t="inlineStr">
        <is>
          <t>TOTAL</t>
        </is>
      </c>
      <c r="C8" s="30">
        <f>SUM(C4:C7)</f>
        <v/>
      </c>
      <c r="P8" s="31">
        <f>SUM(P4:P7)</f>
        <v/>
      </c>
      <c r="Q8" s="31">
        <f>SUM(Q4:Q7)</f>
        <v/>
      </c>
      <c r="R8" s="31">
        <f>SUM(R4:R7)</f>
        <v/>
      </c>
      <c r="S8" s="31">
        <f>SUM(S4:S7)</f>
        <v/>
      </c>
      <c r="T8" s="31">
        <f>SUM(T4:T7)</f>
        <v/>
      </c>
      <c r="U8" s="31">
        <f>SUM(U4:U7)</f>
        <v/>
      </c>
      <c r="V8" s="31">
        <f>SUM(V4:V7)</f>
        <v/>
      </c>
      <c r="W8" s="31">
        <f>SUM(W4:W7)</f>
        <v/>
      </c>
      <c r="X8" s="31">
        <f>SUM(X4:X7)</f>
        <v/>
      </c>
      <c r="Y8" s="31">
        <f>SUM(Y4:Y7)</f>
        <v/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W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4" customWidth="1" min="72" max="72"/>
    <col width="14" customWidth="1" min="73" max="73"/>
    <col width="14" customWidth="1" min="74" max="74"/>
    <col width="14" customWidth="1" min="75" max="75"/>
  </cols>
  <sheetData>
    <row r="1" ht="28" customHeight="1">
      <c r="A1" s="1" t="inlineStr">
        <is>
          <t>📋  MONTHLY DATA — Yellow = required. Blue = actual override (blank → Config default).</t>
        </is>
      </c>
    </row>
    <row r="2">
      <c r="B2" s="2" t="inlineStr">
        <is>
          <t>── Lion01 ──</t>
        </is>
      </c>
      <c r="I2" s="2" t="inlineStr">
        <is>
          <t>── Lion02 ──</t>
        </is>
      </c>
      <c r="P2" s="32" t="inlineStr">
        <is>
          <t>── Lion03 ──</t>
        </is>
      </c>
      <c r="W2" s="32" t="inlineStr">
        <is>
          <t>── Lion04 ──</t>
        </is>
      </c>
      <c r="AD2" s="32" t="inlineStr">
        <is>
          <t>── Lion05 ──</t>
        </is>
      </c>
      <c r="AK2" s="32" t="inlineStr">
        <is>
          <t>── Lion06 ──</t>
        </is>
      </c>
      <c r="AR2" s="32" t="inlineStr">
        <is>
          <t>── Lion07 ──</t>
        </is>
      </c>
      <c r="AY2" s="32" t="inlineStr">
        <is>
          <t>── Lion08 ──</t>
        </is>
      </c>
      <c r="BF2" s="32" t="inlineStr">
        <is>
          <t>── Lion09 ──</t>
        </is>
      </c>
      <c r="BM2" s="32" t="inlineStr">
        <is>
          <t>── Lion10 ──</t>
        </is>
      </c>
      <c r="BT2" s="2" t="inlineStr">
        <is>
          <t>── SHARED ADMIN (split equally across Active teams) ──</t>
        </is>
      </c>
    </row>
    <row r="3">
      <c r="A3" s="3" t="inlineStr">
        <is>
          <t>Month</t>
        </is>
      </c>
      <c r="B3" s="6" t="inlineStr">
        <is>
          <t>Diamonds</t>
        </is>
      </c>
      <c r="C3" s="6" t="inlineStr">
        <is>
          <t>Creators</t>
        </is>
      </c>
      <c r="D3" s="33" t="inlineStr">
        <is>
          <t>Creator Sal. Actual</t>
        </is>
      </c>
      <c r="E3" s="33" t="inlineStr">
        <is>
          <t>Rent Actual</t>
        </is>
      </c>
      <c r="F3" s="33" t="inlineStr">
        <is>
          <t>Utility Actual</t>
        </is>
      </c>
      <c r="G3" s="33" t="inlineStr">
        <is>
          <t>Buffer Actual</t>
        </is>
      </c>
      <c r="H3" s="33" t="inlineStr">
        <is>
          <t>Other Cost Actual</t>
        </is>
      </c>
      <c r="I3" s="6" t="inlineStr">
        <is>
          <t>Diamonds</t>
        </is>
      </c>
      <c r="J3" s="6" t="inlineStr">
        <is>
          <t>Creators</t>
        </is>
      </c>
      <c r="K3" s="33" t="inlineStr">
        <is>
          <t>Creator Sal. Actual</t>
        </is>
      </c>
      <c r="L3" s="33" t="inlineStr">
        <is>
          <t>Rent Actual</t>
        </is>
      </c>
      <c r="M3" s="33" t="inlineStr">
        <is>
          <t>Utility Actual</t>
        </is>
      </c>
      <c r="N3" s="33" t="inlineStr">
        <is>
          <t>Buffer Actual</t>
        </is>
      </c>
      <c r="O3" s="33" t="inlineStr">
        <is>
          <t>Other Cost Actual</t>
        </is>
      </c>
      <c r="P3" s="9" t="inlineStr">
        <is>
          <t>Diamonds</t>
        </is>
      </c>
      <c r="Q3" s="9" t="inlineStr">
        <is>
          <t>Creators</t>
        </is>
      </c>
      <c r="R3" s="9" t="inlineStr">
        <is>
          <t>Creator Sal. Actual</t>
        </is>
      </c>
      <c r="S3" s="9" t="inlineStr">
        <is>
          <t>Rent Actual</t>
        </is>
      </c>
      <c r="T3" s="9" t="inlineStr">
        <is>
          <t>Utility Actual</t>
        </is>
      </c>
      <c r="U3" s="9" t="inlineStr">
        <is>
          <t>Buffer Actual</t>
        </is>
      </c>
      <c r="V3" s="9" t="inlineStr">
        <is>
          <t>Other Cost Actual</t>
        </is>
      </c>
      <c r="W3" s="9" t="inlineStr">
        <is>
          <t>Diamonds</t>
        </is>
      </c>
      <c r="X3" s="9" t="inlineStr">
        <is>
          <t>Creators</t>
        </is>
      </c>
      <c r="Y3" s="9" t="inlineStr">
        <is>
          <t>Creator Sal. Actual</t>
        </is>
      </c>
      <c r="Z3" s="9" t="inlineStr">
        <is>
          <t>Rent Actual</t>
        </is>
      </c>
      <c r="AA3" s="9" t="inlineStr">
        <is>
          <t>Utility Actual</t>
        </is>
      </c>
      <c r="AB3" s="9" t="inlineStr">
        <is>
          <t>Buffer Actual</t>
        </is>
      </c>
      <c r="AC3" s="9" t="inlineStr">
        <is>
          <t>Other Cost Actual</t>
        </is>
      </c>
      <c r="AD3" s="9" t="inlineStr">
        <is>
          <t>Diamonds</t>
        </is>
      </c>
      <c r="AE3" s="9" t="inlineStr">
        <is>
          <t>Creators</t>
        </is>
      </c>
      <c r="AF3" s="9" t="inlineStr">
        <is>
          <t>Creator Sal. Actual</t>
        </is>
      </c>
      <c r="AG3" s="9" t="inlineStr">
        <is>
          <t>Rent Actual</t>
        </is>
      </c>
      <c r="AH3" s="9" t="inlineStr">
        <is>
          <t>Utility Actual</t>
        </is>
      </c>
      <c r="AI3" s="9" t="inlineStr">
        <is>
          <t>Buffer Actual</t>
        </is>
      </c>
      <c r="AJ3" s="9" t="inlineStr">
        <is>
          <t>Other Cost Actual</t>
        </is>
      </c>
      <c r="AK3" s="9" t="inlineStr">
        <is>
          <t>Diamonds</t>
        </is>
      </c>
      <c r="AL3" s="9" t="inlineStr">
        <is>
          <t>Creators</t>
        </is>
      </c>
      <c r="AM3" s="9" t="inlineStr">
        <is>
          <t>Creator Sal. Actual</t>
        </is>
      </c>
      <c r="AN3" s="9" t="inlineStr">
        <is>
          <t>Rent Actual</t>
        </is>
      </c>
      <c r="AO3" s="9" t="inlineStr">
        <is>
          <t>Utility Actual</t>
        </is>
      </c>
      <c r="AP3" s="9" t="inlineStr">
        <is>
          <t>Buffer Actual</t>
        </is>
      </c>
      <c r="AQ3" s="9" t="inlineStr">
        <is>
          <t>Other Cost Actual</t>
        </is>
      </c>
      <c r="AR3" s="9" t="inlineStr">
        <is>
          <t>Diamonds</t>
        </is>
      </c>
      <c r="AS3" s="9" t="inlineStr">
        <is>
          <t>Creators</t>
        </is>
      </c>
      <c r="AT3" s="9" t="inlineStr">
        <is>
          <t>Creator Sal. Actual</t>
        </is>
      </c>
      <c r="AU3" s="9" t="inlineStr">
        <is>
          <t>Rent Actual</t>
        </is>
      </c>
      <c r="AV3" s="9" t="inlineStr">
        <is>
          <t>Utility Actual</t>
        </is>
      </c>
      <c r="AW3" s="9" t="inlineStr">
        <is>
          <t>Buffer Actual</t>
        </is>
      </c>
      <c r="AX3" s="9" t="inlineStr">
        <is>
          <t>Other Cost Actual</t>
        </is>
      </c>
      <c r="AY3" s="9" t="inlineStr">
        <is>
          <t>Diamonds</t>
        </is>
      </c>
      <c r="AZ3" s="9" t="inlineStr">
        <is>
          <t>Creators</t>
        </is>
      </c>
      <c r="BA3" s="9" t="inlineStr">
        <is>
          <t>Creator Sal. Actual</t>
        </is>
      </c>
      <c r="BB3" s="9" t="inlineStr">
        <is>
          <t>Rent Actual</t>
        </is>
      </c>
      <c r="BC3" s="9" t="inlineStr">
        <is>
          <t>Utility Actual</t>
        </is>
      </c>
      <c r="BD3" s="9" t="inlineStr">
        <is>
          <t>Buffer Actual</t>
        </is>
      </c>
      <c r="BE3" s="9" t="inlineStr">
        <is>
          <t>Other Cost Actual</t>
        </is>
      </c>
      <c r="BF3" s="9" t="inlineStr">
        <is>
          <t>Diamonds</t>
        </is>
      </c>
      <c r="BG3" s="9" t="inlineStr">
        <is>
          <t>Creators</t>
        </is>
      </c>
      <c r="BH3" s="9" t="inlineStr">
        <is>
          <t>Creator Sal. Actual</t>
        </is>
      </c>
      <c r="BI3" s="9" t="inlineStr">
        <is>
          <t>Rent Actual</t>
        </is>
      </c>
      <c r="BJ3" s="9" t="inlineStr">
        <is>
          <t>Utility Actual</t>
        </is>
      </c>
      <c r="BK3" s="9" t="inlineStr">
        <is>
          <t>Buffer Actual</t>
        </is>
      </c>
      <c r="BL3" s="9" t="inlineStr">
        <is>
          <t>Other Cost Actual</t>
        </is>
      </c>
      <c r="BM3" s="9" t="inlineStr">
        <is>
          <t>Diamonds</t>
        </is>
      </c>
      <c r="BN3" s="9" t="inlineStr">
        <is>
          <t>Creators</t>
        </is>
      </c>
      <c r="BO3" s="9" t="inlineStr">
        <is>
          <t>Creator Sal. Actual</t>
        </is>
      </c>
      <c r="BP3" s="9" t="inlineStr">
        <is>
          <t>Rent Actual</t>
        </is>
      </c>
      <c r="BQ3" s="9" t="inlineStr">
        <is>
          <t>Utility Actual</t>
        </is>
      </c>
      <c r="BR3" s="9" t="inlineStr">
        <is>
          <t>Buffer Actual</t>
        </is>
      </c>
      <c r="BS3" s="9" t="inlineStr">
        <is>
          <t>Other Cost Actual</t>
        </is>
      </c>
      <c r="BT3" s="6" t="inlineStr">
        <is>
          <t>Clothes</t>
        </is>
      </c>
      <c r="BU3" s="6" t="inlineStr">
        <is>
          <t>Taxi</t>
        </is>
      </c>
      <c r="BV3" s="6" t="inlineStr">
        <is>
          <t>Meals</t>
        </is>
      </c>
      <c r="BW3" s="6" t="inlineStr">
        <is>
          <t>Other Admin</t>
        </is>
      </c>
    </row>
    <row r="4">
      <c r="A4" s="34" t="inlineStr">
        <is>
          <t>2026-02</t>
        </is>
      </c>
      <c r="B4" s="35" t="n">
        <v>890000</v>
      </c>
      <c r="C4" s="36" t="n">
        <v>4</v>
      </c>
      <c r="D4" s="37" t="n"/>
      <c r="E4" s="37" t="n"/>
      <c r="F4" s="37" t="n"/>
      <c r="G4" s="37" t="n"/>
      <c r="H4" s="37" t="n"/>
      <c r="I4" s="35" t="n">
        <v>450000</v>
      </c>
      <c r="J4" s="36" t="n">
        <v>3</v>
      </c>
      <c r="K4" s="37" t="n"/>
      <c r="L4" s="37" t="n"/>
      <c r="M4" s="37" t="n"/>
      <c r="N4" s="37" t="n"/>
      <c r="O4" s="37" t="n"/>
      <c r="P4" s="38" t="n"/>
      <c r="Q4" s="39" t="n"/>
      <c r="R4" s="40" t="n"/>
      <c r="S4" s="40" t="n"/>
      <c r="T4" s="40" t="n"/>
      <c r="U4" s="40" t="n"/>
      <c r="V4" s="40" t="n"/>
      <c r="W4" s="38" t="n"/>
      <c r="X4" s="39" t="n"/>
      <c r="Y4" s="40" t="n"/>
      <c r="Z4" s="40" t="n"/>
      <c r="AA4" s="40" t="n"/>
      <c r="AB4" s="40" t="n"/>
      <c r="AC4" s="40" t="n"/>
      <c r="AD4" s="38" t="n"/>
      <c r="AE4" s="39" t="n"/>
      <c r="AF4" s="40" t="n"/>
      <c r="AG4" s="40" t="n"/>
      <c r="AH4" s="40" t="n"/>
      <c r="AI4" s="40" t="n"/>
      <c r="AJ4" s="40" t="n"/>
      <c r="AK4" s="38" t="n"/>
      <c r="AL4" s="39" t="n"/>
      <c r="AM4" s="40" t="n"/>
      <c r="AN4" s="40" t="n"/>
      <c r="AO4" s="40" t="n"/>
      <c r="AP4" s="40" t="n"/>
      <c r="AQ4" s="40" t="n"/>
      <c r="AR4" s="38" t="n"/>
      <c r="AS4" s="39" t="n"/>
      <c r="AT4" s="40" t="n"/>
      <c r="AU4" s="40" t="n"/>
      <c r="AV4" s="40" t="n"/>
      <c r="AW4" s="40" t="n"/>
      <c r="AX4" s="40" t="n"/>
      <c r="AY4" s="38" t="n"/>
      <c r="AZ4" s="39" t="n"/>
      <c r="BA4" s="40" t="n"/>
      <c r="BB4" s="40" t="n"/>
      <c r="BC4" s="40" t="n"/>
      <c r="BD4" s="40" t="n"/>
      <c r="BE4" s="40" t="n"/>
      <c r="BF4" s="38" t="n"/>
      <c r="BG4" s="39" t="n"/>
      <c r="BH4" s="40" t="n"/>
      <c r="BI4" s="40" t="n"/>
      <c r="BJ4" s="40" t="n"/>
      <c r="BK4" s="40" t="n"/>
      <c r="BL4" s="40" t="n"/>
      <c r="BM4" s="38" t="n"/>
      <c r="BN4" s="39" t="n"/>
      <c r="BO4" s="40" t="n"/>
      <c r="BP4" s="40" t="n"/>
      <c r="BQ4" s="40" t="n"/>
      <c r="BR4" s="40" t="n"/>
      <c r="BS4" s="40" t="n"/>
      <c r="BT4" s="41" t="n"/>
      <c r="BU4" s="41" t="n"/>
      <c r="BV4" s="41" t="n"/>
      <c r="BW4" s="41" t="n"/>
    </row>
    <row r="5">
      <c r="A5" s="34" t="inlineStr">
        <is>
          <t>2026-03</t>
        </is>
      </c>
      <c r="B5" s="35" t="n">
        <v>1200000</v>
      </c>
      <c r="C5" s="36" t="n">
        <v>4</v>
      </c>
      <c r="D5" s="37" t="n"/>
      <c r="E5" s="37" t="n"/>
      <c r="F5" s="37" t="n"/>
      <c r="G5" s="37" t="n"/>
      <c r="H5" s="37" t="n"/>
      <c r="I5" s="35" t="n">
        <v>620000</v>
      </c>
      <c r="J5" s="36" t="n">
        <v>3</v>
      </c>
      <c r="K5" s="37" t="n"/>
      <c r="L5" s="37" t="n"/>
      <c r="M5" s="37" t="n"/>
      <c r="N5" s="37" t="n"/>
      <c r="O5" s="37" t="n"/>
      <c r="P5" s="38" t="n"/>
      <c r="Q5" s="39" t="n"/>
      <c r="R5" s="40" t="n"/>
      <c r="S5" s="40" t="n"/>
      <c r="T5" s="40" t="n"/>
      <c r="U5" s="40" t="n"/>
      <c r="V5" s="40" t="n"/>
      <c r="W5" s="38" t="n"/>
      <c r="X5" s="39" t="n"/>
      <c r="Y5" s="40" t="n"/>
      <c r="Z5" s="40" t="n"/>
      <c r="AA5" s="40" t="n"/>
      <c r="AB5" s="40" t="n"/>
      <c r="AC5" s="40" t="n"/>
      <c r="AD5" s="38" t="n"/>
      <c r="AE5" s="39" t="n"/>
      <c r="AF5" s="40" t="n"/>
      <c r="AG5" s="40" t="n"/>
      <c r="AH5" s="40" t="n"/>
      <c r="AI5" s="40" t="n"/>
      <c r="AJ5" s="40" t="n"/>
      <c r="AK5" s="38" t="n"/>
      <c r="AL5" s="39" t="n"/>
      <c r="AM5" s="40" t="n"/>
      <c r="AN5" s="40" t="n"/>
      <c r="AO5" s="40" t="n"/>
      <c r="AP5" s="40" t="n"/>
      <c r="AQ5" s="40" t="n"/>
      <c r="AR5" s="38" t="n"/>
      <c r="AS5" s="39" t="n"/>
      <c r="AT5" s="40" t="n"/>
      <c r="AU5" s="40" t="n"/>
      <c r="AV5" s="40" t="n"/>
      <c r="AW5" s="40" t="n"/>
      <c r="AX5" s="40" t="n"/>
      <c r="AY5" s="38" t="n"/>
      <c r="AZ5" s="39" t="n"/>
      <c r="BA5" s="40" t="n"/>
      <c r="BB5" s="40" t="n"/>
      <c r="BC5" s="40" t="n"/>
      <c r="BD5" s="40" t="n"/>
      <c r="BE5" s="40" t="n"/>
      <c r="BF5" s="38" t="n"/>
      <c r="BG5" s="39" t="n"/>
      <c r="BH5" s="40" t="n"/>
      <c r="BI5" s="40" t="n"/>
      <c r="BJ5" s="40" t="n"/>
      <c r="BK5" s="40" t="n"/>
      <c r="BL5" s="40" t="n"/>
      <c r="BM5" s="38" t="n"/>
      <c r="BN5" s="39" t="n"/>
      <c r="BO5" s="40" t="n"/>
      <c r="BP5" s="40" t="n"/>
      <c r="BQ5" s="40" t="n"/>
      <c r="BR5" s="40" t="n"/>
      <c r="BS5" s="40" t="n"/>
      <c r="BT5" s="41" t="n"/>
      <c r="BU5" s="41" t="n"/>
      <c r="BV5" s="41" t="n"/>
      <c r="BW5" s="41" t="n"/>
    </row>
  </sheetData>
  <mergeCells count="12">
    <mergeCell ref="AK2:AQ2"/>
    <mergeCell ref="AY2:BE2"/>
    <mergeCell ref="BF2:BL2"/>
    <mergeCell ref="B2:H2"/>
    <mergeCell ref="W2:AC2"/>
    <mergeCell ref="BM2:BS2"/>
    <mergeCell ref="AR2:AX2"/>
    <mergeCell ref="I2:O2"/>
    <mergeCell ref="BT2:BW2"/>
    <mergeCell ref="AD2:AJ2"/>
    <mergeCell ref="A1:BW1"/>
    <mergeCell ref="P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28" customHeight="1">
      <c r="A1" s="1" t="inlineStr">
        <is>
          <t>📊  UE SUMMARY — Auto-calculated. Do not edit.</t>
        </is>
      </c>
    </row>
    <row r="2">
      <c r="A2" s="24" t="inlineStr">
        <is>
          <t>Month</t>
        </is>
      </c>
      <c r="B2" s="24" t="inlineStr">
        <is>
          <t>Team ID</t>
        </is>
      </c>
      <c r="C2" s="24" t="inlineStr">
        <is>
          <t>Team Name</t>
        </is>
      </c>
      <c r="D2" s="24" t="inlineStr">
        <is>
          <t>Diamonds</t>
        </is>
      </c>
      <c r="E2" s="24" t="inlineStr">
        <is>
          <t>Revenue (USD)</t>
        </is>
      </c>
      <c r="F2" s="24" t="inlineStr">
        <is>
          <t>Creator Salary</t>
        </is>
      </c>
      <c r="G2" s="24" t="inlineStr">
        <is>
          <t>Staff Cost</t>
        </is>
      </c>
      <c r="H2" s="24" t="inlineStr">
        <is>
          <t>Rent</t>
        </is>
      </c>
      <c r="I2" s="24" t="inlineStr">
        <is>
          <t>Utility</t>
        </is>
      </c>
      <c r="J2" s="24" t="inlineStr">
        <is>
          <t>Buffer</t>
        </is>
      </c>
      <c r="K2" s="24" t="inlineStr">
        <is>
          <t>Admin Share</t>
        </is>
      </c>
      <c r="L2" s="24" t="inlineStr">
        <is>
          <t>Other</t>
        </is>
      </c>
      <c r="M2" s="24" t="inlineStr">
        <is>
          <t>Total Cost</t>
        </is>
      </c>
      <c r="N2" s="24" t="inlineStr">
        <is>
          <t>Gross Profit</t>
        </is>
      </c>
      <c r="O2" s="24" t="inlineStr">
        <is>
          <t>Margin %</t>
        </is>
      </c>
      <c r="P2" s="24" t="inlineStr">
        <is>
          <t>Stage</t>
        </is>
      </c>
      <c r="Q2" s="24" t="inlineStr">
        <is>
          <t>Cumul. Net</t>
        </is>
      </c>
      <c r="R2" s="24" t="inlineStr">
        <is>
          <t>Initial Invest.</t>
        </is>
      </c>
      <c r="S2" s="24" t="inlineStr">
        <is>
          <t>Recovered?</t>
        </is>
      </c>
      <c r="T2" s="24" t="inlineStr">
        <is>
          <t>Month #</t>
        </is>
      </c>
    </row>
    <row r="3">
      <c r="A3" s="34" t="inlineStr">
        <is>
          <t>2026-02</t>
        </is>
      </c>
      <c r="B3" s="34" t="inlineStr">
        <is>
          <t>Lion01</t>
        </is>
      </c>
      <c r="C3" s="34" t="inlineStr">
        <is>
          <t>Tropi</t>
        </is>
      </c>
      <c r="D3" s="42">
        <f>IF('Config'!$E$5="Not Launched Yet","",IF(Monthly_Data!B4="",0,Monthly_Data!B4))</f>
        <v/>
      </c>
      <c r="E3" s="43">
        <f>IF('Config'!$E$5="Not Launched Yet","",IF(Monthly_Data!B4="",0,Monthly_Data!B4*CONFIG_DIAMOND_RATE*CONFIG_TAKE_RATE))</f>
        <v/>
      </c>
      <c r="F3" s="43">
        <f>IF('Config'!$E$5="Not Launched Yet","",IF(Monthly_Data!D4&lt;&gt;"",Monthly_Data!D4,MAX(CONFIG_CREATOR_BASE*IF(Monthly_Data!C4="",0,Monthly_Data!C4),Monthly_Data!B4*CONFIG_DIAMOND_RATE*CONFIG_TAKE_RATE*CONFIG_CREATOR_REVSHARE)))</f>
        <v/>
      </c>
      <c r="G3" s="43">
        <f>IF('Config'!$E$5="Not Launched Yet","",SUM(Staff!P4:Staff!P200))</f>
        <v/>
      </c>
      <c r="H3" s="43">
        <f>IF('Config'!$E$5="Not Launched Yet","",IF(Monthly_Data!E4&lt;&gt;"",Monthly_Data!E4,CONFIG_RENT))</f>
        <v/>
      </c>
      <c r="I3" s="43">
        <f>IF('Config'!$E$5="Not Launched Yet","",IF(Monthly_Data!F4&lt;&gt;"",Monthly_Data!F4,CONFIG_UTILITY))</f>
        <v/>
      </c>
      <c r="J3" s="43">
        <f>IF('Config'!$E$5="Not Launched Yet","",IF(Monthly_Data!G4&lt;&gt;"",Monthly_Data!G4,CONFIG_BUFFER))</f>
        <v/>
      </c>
      <c r="K3" s="43">
        <f>IF('Config'!$E$5="Not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3" s="43">
        <f>IF('Config'!$E$5="Not Launched Yet","",IF(Monthly_Data!H4&lt;&gt;"",Monthly_Data!H4,0))</f>
        <v/>
      </c>
      <c r="M3" s="43">
        <f>IF('Config'!$E$5="Not Launched Yet","",SUM(F3:L3))</f>
        <v/>
      </c>
      <c r="N3" s="43">
        <f>IF('Config'!$E$5="Not Launched Yet","",E3-M3)</f>
        <v/>
      </c>
      <c r="O3" s="44">
        <f>IF('Config'!$E$5="Not Launched Yet","",IF(E3=0,0,N3/E3))</f>
        <v/>
      </c>
      <c r="P3" s="45">
        <f>IF('Config'!$E$5="Not Launched Yet","",IFS(D3&gt;=CONFIG_STAGE_OPT,"🚀 Optimistic",D3&gt;=CONFIG_STAGE_STB,"✅ Stable",D3&gt;=CONFIG_STAGE_BE,"⚠️ Breakeven",TRUE,"🌱 Incubation"))</f>
        <v/>
      </c>
      <c r="Q3" s="43">
        <f>IF('Config'!$E$5="Not Launched Yet","",N3)</f>
        <v/>
      </c>
      <c r="R3" s="43">
        <f>IF('Config'!$E$5="Not Launched Yet","",'Config'!$F$5)</f>
        <v/>
      </c>
      <c r="S3" s="45">
        <f>IF('Config'!$E$5="Not Launched Yet","",IF(Q3&gt;='Config'!$F$5,"✅ YES","⏳ No"))</f>
        <v/>
      </c>
      <c r="T3" s="26">
        <f>IF('Config'!$E$5="Not Launched Yet","",IF('Config'!$D$5="","—",DATEDIF(DATE(LEFT(TEXT('Config'!$D$5,"YYYY-MM-DD"),4),MID(TEXT('Config'!$D$5,"YYYY-MM-DD"),6,2),1),DATE(LEFT(A3,4),RIGHT(A3,2),1),"M")+1))</f>
        <v/>
      </c>
    </row>
    <row r="4">
      <c r="A4" s="34" t="inlineStr">
        <is>
          <t>2026-02</t>
        </is>
      </c>
      <c r="B4" s="34" t="inlineStr">
        <is>
          <t>Lion02</t>
        </is>
      </c>
      <c r="C4" s="34" t="inlineStr">
        <is>
          <t>Kangri</t>
        </is>
      </c>
      <c r="D4" s="42">
        <f>IF('Config'!$E$6="Not Launched Yet","",IF(Monthly_Data!I4="",0,Monthly_Data!I4))</f>
        <v/>
      </c>
      <c r="E4" s="43">
        <f>IF('Config'!$E$6="Not Launched Yet","",IF(Monthly_Data!I4="",0,Monthly_Data!I4*CONFIG_DIAMOND_RATE*CONFIG_TAKE_RATE))</f>
        <v/>
      </c>
      <c r="F4" s="43">
        <f>IF('Config'!$E$6="Not Launched Yet","",IF(Monthly_Data!K4&lt;&gt;"",Monthly_Data!K4,MAX(CONFIG_CREATOR_BASE*IF(Monthly_Data!J4="",0,Monthly_Data!J4),Monthly_Data!I4*CONFIG_DIAMOND_RATE*CONFIG_TAKE_RATE*CONFIG_CREATOR_REVSHARE)))</f>
        <v/>
      </c>
      <c r="G4" s="43">
        <f>IF('Config'!$E$6="Not Launched Yet","",SUM(Staff!Q4:Staff!Q200))</f>
        <v/>
      </c>
      <c r="H4" s="43">
        <f>IF('Config'!$E$6="Not Launched Yet","",IF(Monthly_Data!L4&lt;&gt;"",Monthly_Data!L4,CONFIG_RENT))</f>
        <v/>
      </c>
      <c r="I4" s="43">
        <f>IF('Config'!$E$6="Not Launched Yet","",IF(Monthly_Data!M4&lt;&gt;"",Monthly_Data!M4,CONFIG_UTILITY))</f>
        <v/>
      </c>
      <c r="J4" s="43">
        <f>IF('Config'!$E$6="Not Launched Yet","",IF(Monthly_Data!N4&lt;&gt;"",Monthly_Data!N4,CONFIG_BUFFER))</f>
        <v/>
      </c>
      <c r="K4" s="43">
        <f>IF('Config'!$E$6="Not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4" s="43">
        <f>IF('Config'!$E$6="Not Launched Yet","",IF(Monthly_Data!O4&lt;&gt;"",Monthly_Data!O4,0))</f>
        <v/>
      </c>
      <c r="M4" s="43">
        <f>IF('Config'!$E$6="Not Launched Yet","",SUM(F4:L4))</f>
        <v/>
      </c>
      <c r="N4" s="43">
        <f>IF('Config'!$E$6="Not Launched Yet","",E4-M4)</f>
        <v/>
      </c>
      <c r="O4" s="44">
        <f>IF('Config'!$E$6="Not Launched Yet","",IF(E4=0,0,N4/E4))</f>
        <v/>
      </c>
      <c r="P4" s="45">
        <f>IF('Config'!$E$6="Not Launched Yet","",IFS(D4&gt;=CONFIG_STAGE_OPT,"🚀 Optimistic",D4&gt;=CONFIG_STAGE_STB,"✅ Stable",D4&gt;=CONFIG_STAGE_BE,"⚠️ Breakeven",TRUE,"🌱 Incubation"))</f>
        <v/>
      </c>
      <c r="Q4" s="43">
        <f>IF('Config'!$E$6="Not Launched Yet","",N4)</f>
        <v/>
      </c>
      <c r="R4" s="43">
        <f>IF('Config'!$E$6="Not Launched Yet","",'Config'!$F$6)</f>
        <v/>
      </c>
      <c r="S4" s="45">
        <f>IF('Config'!$E$6="Not Launched Yet","",IF(Q4&gt;='Config'!$F$6,"✅ YES","⏳ No"))</f>
        <v/>
      </c>
      <c r="T4" s="26">
        <f>IF('Config'!$E$6="Not Launched Yet","",IF('Config'!$D$6="","—",DATEDIF(DATE(LEFT(TEXT('Config'!$D$6,"YYYY-MM-DD"),4),MID(TEXT('Config'!$D$6,"YYYY-MM-DD"),6,2),1),DATE(LEFT(A4,4),RIGHT(A4,2),1),"M")+1))</f>
        <v/>
      </c>
    </row>
    <row r="5">
      <c r="A5" s="9" t="inlineStr">
        <is>
          <t>2026-02</t>
        </is>
      </c>
      <c r="B5" s="9" t="inlineStr">
        <is>
          <t>Lion03</t>
        </is>
      </c>
      <c r="C5" s="9" t="inlineStr">
        <is>
          <t>(Lion03)</t>
        </is>
      </c>
      <c r="D5" s="46">
        <f>IF('Config'!$E$7="Not Launched Yet","",IF(Monthly_Data!P4="",0,Monthly_Data!P4))</f>
        <v/>
      </c>
      <c r="E5" s="47">
        <f>IF('Config'!$E$7="Not Launched Yet","",IF(Monthly_Data!P4="",0,Monthly_Data!P4*CONFIG_DIAMOND_RATE*CONFIG_TAKE_RATE))</f>
        <v/>
      </c>
      <c r="F5" s="47">
        <f>IF('Config'!$E$7="Not Launched Yet","",IF(Monthly_Data!R4&lt;&gt;"",Monthly_Data!R4,MAX(CONFIG_CREATOR_BASE*IF(Monthly_Data!Q4="",0,Monthly_Data!Q4),Monthly_Data!P4*CONFIG_DIAMOND_RATE*CONFIG_TAKE_RATE*CONFIG_CREATOR_REVSHARE)))</f>
        <v/>
      </c>
      <c r="G5" s="47">
        <f>IF('Config'!$E$7="Not Launched Yet","",SUM(Staff!R4:Staff!R200))</f>
        <v/>
      </c>
      <c r="H5" s="47">
        <f>IF('Config'!$E$7="Not Launched Yet","",IF(Monthly_Data!S4&lt;&gt;"",Monthly_Data!S4,CONFIG_RENT))</f>
        <v/>
      </c>
      <c r="I5" s="47">
        <f>IF('Config'!$E$7="Not Launched Yet","",IF(Monthly_Data!T4&lt;&gt;"",Monthly_Data!T4,CONFIG_UTILITY))</f>
        <v/>
      </c>
      <c r="J5" s="47">
        <f>IF('Config'!$E$7="Not Launched Yet","",IF(Monthly_Data!U4&lt;&gt;"",Monthly_Data!U4,CONFIG_BUFFER))</f>
        <v/>
      </c>
      <c r="K5" s="47">
        <f>IF('Config'!$E$7="Not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5" s="47">
        <f>IF('Config'!$E$7="Not Launched Yet","",IF(Monthly_Data!V4&lt;&gt;"",Monthly_Data!V4,0))</f>
        <v/>
      </c>
      <c r="M5" s="47">
        <f>IF('Config'!$E$7="Not Launched Yet","",SUM(F5:L5))</f>
        <v/>
      </c>
      <c r="N5" s="47">
        <f>IF('Config'!$E$7="Not Launched Yet","",E5-M5)</f>
        <v/>
      </c>
      <c r="O5" s="48">
        <f>IF('Config'!$E$7="Not Launched Yet","",IF(E5=0,0,N5/E5))</f>
        <v/>
      </c>
      <c r="P5" s="9">
        <f>IF('Config'!$E$7="Not Launched Yet","",IFS(D5&gt;=CONFIG_STAGE_OPT,"🚀 Optimistic",D5&gt;=CONFIG_STAGE_STB,"✅ Stable",D5&gt;=CONFIG_STAGE_BE,"⚠️ Breakeven",TRUE,"🌱 Incubation"))</f>
        <v/>
      </c>
      <c r="Q5" s="47">
        <f>IF('Config'!$E$7="Not Launched Yet","",N5)</f>
        <v/>
      </c>
      <c r="R5" s="47">
        <f>IF('Config'!$E$7="Not Launched Yet","",'Config'!$F$7)</f>
        <v/>
      </c>
      <c r="S5" s="9">
        <f>IF('Config'!$E$7="Not Launched Yet","",IF(Q5&gt;='Config'!$F$7,"✅ YES","⏳ No"))</f>
        <v/>
      </c>
      <c r="T5" s="49">
        <f>IF('Config'!$E$7="Not Launched Yet","",IF('Config'!$D$7="","—",DATEDIF(DATE(LEFT(TEXT('Config'!$D$7,"YYYY-MM-DD"),4),MID(TEXT('Config'!$D$7,"YYYY-MM-DD"),6,2),1),DATE(LEFT(A5,4),RIGHT(A5,2),1),"M")+1))</f>
        <v/>
      </c>
    </row>
    <row r="6">
      <c r="A6" s="9" t="inlineStr">
        <is>
          <t>2026-02</t>
        </is>
      </c>
      <c r="B6" s="9" t="inlineStr">
        <is>
          <t>Lion04</t>
        </is>
      </c>
      <c r="C6" s="9" t="inlineStr">
        <is>
          <t>(Lion04)</t>
        </is>
      </c>
      <c r="D6" s="46">
        <f>IF('Config'!$E$8="Not Launched Yet","",IF(Monthly_Data!W4="",0,Monthly_Data!W4))</f>
        <v/>
      </c>
      <c r="E6" s="47">
        <f>IF('Config'!$E$8="Not Launched Yet","",IF(Monthly_Data!W4="",0,Monthly_Data!W4*CONFIG_DIAMOND_RATE*CONFIG_TAKE_RATE))</f>
        <v/>
      </c>
      <c r="F6" s="47">
        <f>IF('Config'!$E$8="Not Launched Yet","",IF(Monthly_Data!Y4&lt;&gt;"",Monthly_Data!Y4,MAX(CONFIG_CREATOR_BASE*IF(Monthly_Data!X4="",0,Monthly_Data!X4),Monthly_Data!W4*CONFIG_DIAMOND_RATE*CONFIG_TAKE_RATE*CONFIG_CREATOR_REVSHARE)))</f>
        <v/>
      </c>
      <c r="G6" s="47">
        <f>IF('Config'!$E$8="Not Launched Yet","",SUM(Staff!S4:Staff!S200))</f>
        <v/>
      </c>
      <c r="H6" s="47">
        <f>IF('Config'!$E$8="Not Launched Yet","",IF(Monthly_Data!Z4&lt;&gt;"",Monthly_Data!Z4,CONFIG_RENT))</f>
        <v/>
      </c>
      <c r="I6" s="47">
        <f>IF('Config'!$E$8="Not Launched Yet","",IF(Monthly_Data!AA4&lt;&gt;"",Monthly_Data!AA4,CONFIG_UTILITY))</f>
        <v/>
      </c>
      <c r="J6" s="47">
        <f>IF('Config'!$E$8="Not Launched Yet","",IF(Monthly_Data!AB4&lt;&gt;"",Monthly_Data!AB4,CONFIG_BUFFER))</f>
        <v/>
      </c>
      <c r="K6" s="47">
        <f>IF('Config'!$E$8="Not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6" s="47">
        <f>IF('Config'!$E$8="Not Launched Yet","",IF(Monthly_Data!AC4&lt;&gt;"",Monthly_Data!AC4,0))</f>
        <v/>
      </c>
      <c r="M6" s="47">
        <f>IF('Config'!$E$8="Not Launched Yet","",SUM(F6:L6))</f>
        <v/>
      </c>
      <c r="N6" s="47">
        <f>IF('Config'!$E$8="Not Launched Yet","",E6-M6)</f>
        <v/>
      </c>
      <c r="O6" s="48">
        <f>IF('Config'!$E$8="Not Launched Yet","",IF(E6=0,0,N6/E6))</f>
        <v/>
      </c>
      <c r="P6" s="9">
        <f>IF('Config'!$E$8="Not Launched Yet","",IFS(D6&gt;=CONFIG_STAGE_OPT,"🚀 Optimistic",D6&gt;=CONFIG_STAGE_STB,"✅ Stable",D6&gt;=CONFIG_STAGE_BE,"⚠️ Breakeven",TRUE,"🌱 Incubation"))</f>
        <v/>
      </c>
      <c r="Q6" s="47">
        <f>IF('Config'!$E$8="Not Launched Yet","",N6)</f>
        <v/>
      </c>
      <c r="R6" s="47">
        <f>IF('Config'!$E$8="Not Launched Yet","",'Config'!$F$8)</f>
        <v/>
      </c>
      <c r="S6" s="9">
        <f>IF('Config'!$E$8="Not Launched Yet","",IF(Q6&gt;='Config'!$F$8,"✅ YES","⏳ No"))</f>
        <v/>
      </c>
      <c r="T6" s="49">
        <f>IF('Config'!$E$8="Not Launched Yet","",IF('Config'!$D$8="","—",DATEDIF(DATE(LEFT(TEXT('Config'!$D$8,"YYYY-MM-DD"),4),MID(TEXT('Config'!$D$8,"YYYY-MM-DD"),6,2),1),DATE(LEFT(A6,4),RIGHT(A6,2),1),"M")+1))</f>
        <v/>
      </c>
    </row>
    <row r="7">
      <c r="A7" s="9" t="inlineStr">
        <is>
          <t>2026-02</t>
        </is>
      </c>
      <c r="B7" s="9" t="inlineStr">
        <is>
          <t>Lion05</t>
        </is>
      </c>
      <c r="C7" s="9" t="inlineStr">
        <is>
          <t>(Lion05)</t>
        </is>
      </c>
      <c r="D7" s="46">
        <f>IF('Config'!$E$9="Not Launched Yet","",IF(Monthly_Data!AD4="",0,Monthly_Data!AD4))</f>
        <v/>
      </c>
      <c r="E7" s="47">
        <f>IF('Config'!$E$9="Not Launched Yet","",IF(Monthly_Data!AD4="",0,Monthly_Data!AD4*CONFIG_DIAMOND_RATE*CONFIG_TAKE_RATE))</f>
        <v/>
      </c>
      <c r="F7" s="47">
        <f>IF('Config'!$E$9="Not Launched Yet","",IF(Monthly_Data!AF4&lt;&gt;"",Monthly_Data!AF4,MAX(CONFIG_CREATOR_BASE*IF(Monthly_Data!AE4="",0,Monthly_Data!AE4),Monthly_Data!AD4*CONFIG_DIAMOND_RATE*CONFIG_TAKE_RATE*CONFIG_CREATOR_REVSHARE)))</f>
        <v/>
      </c>
      <c r="G7" s="47">
        <f>IF('Config'!$E$9="Not Launched Yet","",SUM(Staff!T4:Staff!T200))</f>
        <v/>
      </c>
      <c r="H7" s="47">
        <f>IF('Config'!$E$9="Not Launched Yet","",IF(Monthly_Data!AG4&lt;&gt;"",Monthly_Data!AG4,CONFIG_RENT))</f>
        <v/>
      </c>
      <c r="I7" s="47">
        <f>IF('Config'!$E$9="Not Launched Yet","",IF(Monthly_Data!AH4&lt;&gt;"",Monthly_Data!AH4,CONFIG_UTILITY))</f>
        <v/>
      </c>
      <c r="J7" s="47">
        <f>IF('Config'!$E$9="Not Launched Yet","",IF(Monthly_Data!AI4&lt;&gt;"",Monthly_Data!AI4,CONFIG_BUFFER))</f>
        <v/>
      </c>
      <c r="K7" s="47">
        <f>IF('Config'!$E$9="Not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7" s="47">
        <f>IF('Config'!$E$9="Not Launched Yet","",IF(Monthly_Data!AJ4&lt;&gt;"",Monthly_Data!AJ4,0))</f>
        <v/>
      </c>
      <c r="M7" s="47">
        <f>IF('Config'!$E$9="Not Launched Yet","",SUM(F7:L7))</f>
        <v/>
      </c>
      <c r="N7" s="47">
        <f>IF('Config'!$E$9="Not Launched Yet","",E7-M7)</f>
        <v/>
      </c>
      <c r="O7" s="48">
        <f>IF('Config'!$E$9="Not Launched Yet","",IF(E7=0,0,N7/E7))</f>
        <v/>
      </c>
      <c r="P7" s="9">
        <f>IF('Config'!$E$9="Not Launched Yet","",IFS(D7&gt;=CONFIG_STAGE_OPT,"🚀 Optimistic",D7&gt;=CONFIG_STAGE_STB,"✅ Stable",D7&gt;=CONFIG_STAGE_BE,"⚠️ Breakeven",TRUE,"🌱 Incubation"))</f>
        <v/>
      </c>
      <c r="Q7" s="47">
        <f>IF('Config'!$E$9="Not Launched Yet","",N7)</f>
        <v/>
      </c>
      <c r="R7" s="47">
        <f>IF('Config'!$E$9="Not Launched Yet","",'Config'!$F$9)</f>
        <v/>
      </c>
      <c r="S7" s="9">
        <f>IF('Config'!$E$9="Not Launched Yet","",IF(Q7&gt;='Config'!$F$9,"✅ YES","⏳ No"))</f>
        <v/>
      </c>
      <c r="T7" s="49">
        <f>IF('Config'!$E$9="Not Launched Yet","",IF('Config'!$D$9="","—",DATEDIF(DATE(LEFT(TEXT('Config'!$D$9,"YYYY-MM-DD"),4),MID(TEXT('Config'!$D$9,"YYYY-MM-DD"),6,2),1),DATE(LEFT(A7,4),RIGHT(A7,2),1),"M")+1))</f>
        <v/>
      </c>
    </row>
    <row r="8">
      <c r="A8" s="9" t="inlineStr">
        <is>
          <t>2026-02</t>
        </is>
      </c>
      <c r="B8" s="9" t="inlineStr">
        <is>
          <t>Lion06</t>
        </is>
      </c>
      <c r="C8" s="9" t="inlineStr">
        <is>
          <t>(Lion06)</t>
        </is>
      </c>
      <c r="D8" s="46">
        <f>IF('Config'!$E$10="Not Launched Yet","",IF(Monthly_Data!AK4="",0,Monthly_Data!AK4))</f>
        <v/>
      </c>
      <c r="E8" s="47">
        <f>IF('Config'!$E$10="Not Launched Yet","",IF(Monthly_Data!AK4="",0,Monthly_Data!AK4*CONFIG_DIAMOND_RATE*CONFIG_TAKE_RATE))</f>
        <v/>
      </c>
      <c r="F8" s="47">
        <f>IF('Config'!$E$10="Not Launched Yet","",IF(Monthly_Data!AM4&lt;&gt;"",Monthly_Data!AM4,MAX(CONFIG_CREATOR_BASE*IF(Monthly_Data!AL4="",0,Monthly_Data!AL4),Monthly_Data!AK4*CONFIG_DIAMOND_RATE*CONFIG_TAKE_RATE*CONFIG_CREATOR_REVSHARE)))</f>
        <v/>
      </c>
      <c r="G8" s="47">
        <f>IF('Config'!$E$10="Not Launched Yet","",SUM(Staff!U4:Staff!U200))</f>
        <v/>
      </c>
      <c r="H8" s="47">
        <f>IF('Config'!$E$10="Not Launched Yet","",IF(Monthly_Data!AN4&lt;&gt;"",Monthly_Data!AN4,CONFIG_RENT))</f>
        <v/>
      </c>
      <c r="I8" s="47">
        <f>IF('Config'!$E$10="Not Launched Yet","",IF(Monthly_Data!AO4&lt;&gt;"",Monthly_Data!AO4,CONFIG_UTILITY))</f>
        <v/>
      </c>
      <c r="J8" s="47">
        <f>IF('Config'!$E$10="Not Launched Yet","",IF(Monthly_Data!AP4&lt;&gt;"",Monthly_Data!AP4,CONFIG_BUFFER))</f>
        <v/>
      </c>
      <c r="K8" s="47">
        <f>IF('Config'!$E$10="Not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8" s="47">
        <f>IF('Config'!$E$10="Not Launched Yet","",IF(Monthly_Data!AQ4&lt;&gt;"",Monthly_Data!AQ4,0))</f>
        <v/>
      </c>
      <c r="M8" s="47">
        <f>IF('Config'!$E$10="Not Launched Yet","",SUM(F8:L8))</f>
        <v/>
      </c>
      <c r="N8" s="47">
        <f>IF('Config'!$E$10="Not Launched Yet","",E8-M8)</f>
        <v/>
      </c>
      <c r="O8" s="48">
        <f>IF('Config'!$E$10="Not Launched Yet","",IF(E8=0,0,N8/E8))</f>
        <v/>
      </c>
      <c r="P8" s="9">
        <f>IF('Config'!$E$10="Not Launched Yet","",IFS(D8&gt;=CONFIG_STAGE_OPT,"🚀 Optimistic",D8&gt;=CONFIG_STAGE_STB,"✅ Stable",D8&gt;=CONFIG_STAGE_BE,"⚠️ Breakeven",TRUE,"🌱 Incubation"))</f>
        <v/>
      </c>
      <c r="Q8" s="47">
        <f>IF('Config'!$E$10="Not Launched Yet","",N8)</f>
        <v/>
      </c>
      <c r="R8" s="47">
        <f>IF('Config'!$E$10="Not Launched Yet","",'Config'!$F$10)</f>
        <v/>
      </c>
      <c r="S8" s="9">
        <f>IF('Config'!$E$10="Not Launched Yet","",IF(Q8&gt;='Config'!$F$10,"✅ YES","⏳ No"))</f>
        <v/>
      </c>
      <c r="T8" s="49">
        <f>IF('Config'!$E$10="Not Launched Yet","",IF('Config'!$D$10="","—",DATEDIF(DATE(LEFT(TEXT('Config'!$D$10,"YYYY-MM-DD"),4),MID(TEXT('Config'!$D$10,"YYYY-MM-DD"),6,2),1),DATE(LEFT(A8,4),RIGHT(A8,2),1),"M")+1))</f>
        <v/>
      </c>
    </row>
    <row r="9">
      <c r="A9" s="9" t="inlineStr">
        <is>
          <t>2026-02</t>
        </is>
      </c>
      <c r="B9" s="9" t="inlineStr">
        <is>
          <t>Lion07</t>
        </is>
      </c>
      <c r="C9" s="9" t="inlineStr">
        <is>
          <t>(Lion07)</t>
        </is>
      </c>
      <c r="D9" s="46">
        <f>IF('Config'!$E$11="Not Launched Yet","",IF(Monthly_Data!AR4="",0,Monthly_Data!AR4))</f>
        <v/>
      </c>
      <c r="E9" s="47">
        <f>IF('Config'!$E$11="Not Launched Yet","",IF(Monthly_Data!AR4="",0,Monthly_Data!AR4*CONFIG_DIAMOND_RATE*CONFIG_TAKE_RATE))</f>
        <v/>
      </c>
      <c r="F9" s="47">
        <f>IF('Config'!$E$11="Not Launched Yet","",IF(Monthly_Data!AT4&lt;&gt;"",Monthly_Data!AT4,MAX(CONFIG_CREATOR_BASE*IF(Monthly_Data!AS4="",0,Monthly_Data!AS4),Monthly_Data!AR4*CONFIG_DIAMOND_RATE*CONFIG_TAKE_RATE*CONFIG_CREATOR_REVSHARE)))</f>
        <v/>
      </c>
      <c r="G9" s="47">
        <f>IF('Config'!$E$11="Not Launched Yet","",SUM(Staff!V4:Staff!V200))</f>
        <v/>
      </c>
      <c r="H9" s="47">
        <f>IF('Config'!$E$11="Not Launched Yet","",IF(Monthly_Data!AU4&lt;&gt;"",Monthly_Data!AU4,CONFIG_RENT))</f>
        <v/>
      </c>
      <c r="I9" s="47">
        <f>IF('Config'!$E$11="Not Launched Yet","",IF(Monthly_Data!AV4&lt;&gt;"",Monthly_Data!AV4,CONFIG_UTILITY))</f>
        <v/>
      </c>
      <c r="J9" s="47">
        <f>IF('Config'!$E$11="Not Launched Yet","",IF(Monthly_Data!AW4&lt;&gt;"",Monthly_Data!AW4,CONFIG_BUFFER))</f>
        <v/>
      </c>
      <c r="K9" s="47">
        <f>IF('Config'!$E$11="Not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9" s="47">
        <f>IF('Config'!$E$11="Not Launched Yet","",IF(Monthly_Data!AX4&lt;&gt;"",Monthly_Data!AX4,0))</f>
        <v/>
      </c>
      <c r="M9" s="47">
        <f>IF('Config'!$E$11="Not Launched Yet","",SUM(F9:L9))</f>
        <v/>
      </c>
      <c r="N9" s="47">
        <f>IF('Config'!$E$11="Not Launched Yet","",E9-M9)</f>
        <v/>
      </c>
      <c r="O9" s="48">
        <f>IF('Config'!$E$11="Not Launched Yet","",IF(E9=0,0,N9/E9))</f>
        <v/>
      </c>
      <c r="P9" s="9">
        <f>IF('Config'!$E$11="Not Launched Yet","",IFS(D9&gt;=CONFIG_STAGE_OPT,"🚀 Optimistic",D9&gt;=CONFIG_STAGE_STB,"✅ Stable",D9&gt;=CONFIG_STAGE_BE,"⚠️ Breakeven",TRUE,"🌱 Incubation"))</f>
        <v/>
      </c>
      <c r="Q9" s="47">
        <f>IF('Config'!$E$11="Not Launched Yet","",N9)</f>
        <v/>
      </c>
      <c r="R9" s="47">
        <f>IF('Config'!$E$11="Not Launched Yet","",'Config'!$F$11)</f>
        <v/>
      </c>
      <c r="S9" s="9">
        <f>IF('Config'!$E$11="Not Launched Yet","",IF(Q9&gt;='Config'!$F$11,"✅ YES","⏳ No"))</f>
        <v/>
      </c>
      <c r="T9" s="49">
        <f>IF('Config'!$E$11="Not Launched Yet","",IF('Config'!$D$11="","—",DATEDIF(DATE(LEFT(TEXT('Config'!$D$11,"YYYY-MM-DD"),4),MID(TEXT('Config'!$D$11,"YYYY-MM-DD"),6,2),1),DATE(LEFT(A9,4),RIGHT(A9,2),1),"M")+1))</f>
        <v/>
      </c>
    </row>
    <row r="10">
      <c r="A10" s="9" t="inlineStr">
        <is>
          <t>2026-02</t>
        </is>
      </c>
      <c r="B10" s="9" t="inlineStr">
        <is>
          <t>Lion08</t>
        </is>
      </c>
      <c r="C10" s="9" t="inlineStr">
        <is>
          <t>(Lion08)</t>
        </is>
      </c>
      <c r="D10" s="46">
        <f>IF('Config'!$E$12="Not Launched Yet","",IF(Monthly_Data!AY4="",0,Monthly_Data!AY4))</f>
        <v/>
      </c>
      <c r="E10" s="47">
        <f>IF('Config'!$E$12="Not Launched Yet","",IF(Monthly_Data!AY4="",0,Monthly_Data!AY4*CONFIG_DIAMOND_RATE*CONFIG_TAKE_RATE))</f>
        <v/>
      </c>
      <c r="F10" s="47">
        <f>IF('Config'!$E$12="Not Launched Yet","",IF(Monthly_Data!BA4&lt;&gt;"",Monthly_Data!BA4,MAX(CONFIG_CREATOR_BASE*IF(Monthly_Data!AZ4="",0,Monthly_Data!AZ4),Monthly_Data!AY4*CONFIG_DIAMOND_RATE*CONFIG_TAKE_RATE*CONFIG_CREATOR_REVSHARE)))</f>
        <v/>
      </c>
      <c r="G10" s="47">
        <f>IF('Config'!$E$12="Not Launched Yet","",SUM(Staff!W4:Staff!W200))</f>
        <v/>
      </c>
      <c r="H10" s="47">
        <f>IF('Config'!$E$12="Not Launched Yet","",IF(Monthly_Data!BB4&lt;&gt;"",Monthly_Data!BB4,CONFIG_RENT))</f>
        <v/>
      </c>
      <c r="I10" s="47">
        <f>IF('Config'!$E$12="Not Launched Yet","",IF(Monthly_Data!BC4&lt;&gt;"",Monthly_Data!BC4,CONFIG_UTILITY))</f>
        <v/>
      </c>
      <c r="J10" s="47">
        <f>IF('Config'!$E$12="Not Launched Yet","",IF(Monthly_Data!BD4&lt;&gt;"",Monthly_Data!BD4,CONFIG_BUFFER))</f>
        <v/>
      </c>
      <c r="K10" s="47">
        <f>IF('Config'!$E$12="Not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10" s="47">
        <f>IF('Config'!$E$12="Not Launched Yet","",IF(Monthly_Data!BE4&lt;&gt;"",Monthly_Data!BE4,0))</f>
        <v/>
      </c>
      <c r="M10" s="47">
        <f>IF('Config'!$E$12="Not Launched Yet","",SUM(F10:L10))</f>
        <v/>
      </c>
      <c r="N10" s="47">
        <f>IF('Config'!$E$12="Not Launched Yet","",E10-M10)</f>
        <v/>
      </c>
      <c r="O10" s="48">
        <f>IF('Config'!$E$12="Not Launched Yet","",IF(E10=0,0,N10/E10))</f>
        <v/>
      </c>
      <c r="P10" s="9">
        <f>IF('Config'!$E$12="Not Launched Yet","",IFS(D10&gt;=CONFIG_STAGE_OPT,"🚀 Optimistic",D10&gt;=CONFIG_STAGE_STB,"✅ Stable",D10&gt;=CONFIG_STAGE_BE,"⚠️ Breakeven",TRUE,"🌱 Incubation"))</f>
        <v/>
      </c>
      <c r="Q10" s="47">
        <f>IF('Config'!$E$12="Not Launched Yet","",N10)</f>
        <v/>
      </c>
      <c r="R10" s="47">
        <f>IF('Config'!$E$12="Not Launched Yet","",'Config'!$F$12)</f>
        <v/>
      </c>
      <c r="S10" s="9">
        <f>IF('Config'!$E$12="Not Launched Yet","",IF(Q10&gt;='Config'!$F$12,"✅ YES","⏳ No"))</f>
        <v/>
      </c>
      <c r="T10" s="49">
        <f>IF('Config'!$E$12="Not Launched Yet","",IF('Config'!$D$12="","—",DATEDIF(DATE(LEFT(TEXT('Config'!$D$12,"YYYY-MM-DD"),4),MID(TEXT('Config'!$D$12,"YYYY-MM-DD"),6,2),1),DATE(LEFT(A10,4),RIGHT(A10,2),1),"M")+1))</f>
        <v/>
      </c>
    </row>
    <row r="11">
      <c r="A11" s="9" t="inlineStr">
        <is>
          <t>2026-02</t>
        </is>
      </c>
      <c r="B11" s="9" t="inlineStr">
        <is>
          <t>Lion09</t>
        </is>
      </c>
      <c r="C11" s="9" t="inlineStr">
        <is>
          <t>(Lion09)</t>
        </is>
      </c>
      <c r="D11" s="46">
        <f>IF('Config'!$E$13="Not Launched Yet","",IF(Monthly_Data!BF4="",0,Monthly_Data!BF4))</f>
        <v/>
      </c>
      <c r="E11" s="47">
        <f>IF('Config'!$E$13="Not Launched Yet","",IF(Monthly_Data!BF4="",0,Monthly_Data!BF4*CONFIG_DIAMOND_RATE*CONFIG_TAKE_RATE))</f>
        <v/>
      </c>
      <c r="F11" s="47">
        <f>IF('Config'!$E$13="Not Launched Yet","",IF(Monthly_Data!BH4&lt;&gt;"",Monthly_Data!BH4,MAX(CONFIG_CREATOR_BASE*IF(Monthly_Data!BG4="",0,Monthly_Data!BG4),Monthly_Data!BF4*CONFIG_DIAMOND_RATE*CONFIG_TAKE_RATE*CONFIG_CREATOR_REVSHARE)))</f>
        <v/>
      </c>
      <c r="G11" s="47">
        <f>IF('Config'!$E$13="Not Launched Yet","",SUM(Staff!X4:Staff!X200))</f>
        <v/>
      </c>
      <c r="H11" s="47">
        <f>IF('Config'!$E$13="Not Launched Yet","",IF(Monthly_Data!BI4&lt;&gt;"",Monthly_Data!BI4,CONFIG_RENT))</f>
        <v/>
      </c>
      <c r="I11" s="47">
        <f>IF('Config'!$E$13="Not Launched Yet","",IF(Monthly_Data!BJ4&lt;&gt;"",Monthly_Data!BJ4,CONFIG_UTILITY))</f>
        <v/>
      </c>
      <c r="J11" s="47">
        <f>IF('Config'!$E$13="Not Launched Yet","",IF(Monthly_Data!BK4&lt;&gt;"",Monthly_Data!BK4,CONFIG_BUFFER))</f>
        <v/>
      </c>
      <c r="K11" s="47">
        <f>IF('Config'!$E$13="Not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11" s="47">
        <f>IF('Config'!$E$13="Not Launched Yet","",IF(Monthly_Data!BL4&lt;&gt;"",Monthly_Data!BL4,0))</f>
        <v/>
      </c>
      <c r="M11" s="47">
        <f>IF('Config'!$E$13="Not Launched Yet","",SUM(F11:L11))</f>
        <v/>
      </c>
      <c r="N11" s="47">
        <f>IF('Config'!$E$13="Not Launched Yet","",E11-M11)</f>
        <v/>
      </c>
      <c r="O11" s="48">
        <f>IF('Config'!$E$13="Not Launched Yet","",IF(E11=0,0,N11/E11))</f>
        <v/>
      </c>
      <c r="P11" s="9">
        <f>IF('Config'!$E$13="Not Launched Yet","",IFS(D11&gt;=CONFIG_STAGE_OPT,"🚀 Optimistic",D11&gt;=CONFIG_STAGE_STB,"✅ Stable",D11&gt;=CONFIG_STAGE_BE,"⚠️ Breakeven",TRUE,"🌱 Incubation"))</f>
        <v/>
      </c>
      <c r="Q11" s="47">
        <f>IF('Config'!$E$13="Not Launched Yet","",N11)</f>
        <v/>
      </c>
      <c r="R11" s="47">
        <f>IF('Config'!$E$13="Not Launched Yet","",'Config'!$F$13)</f>
        <v/>
      </c>
      <c r="S11" s="9">
        <f>IF('Config'!$E$13="Not Launched Yet","",IF(Q11&gt;='Config'!$F$13,"✅ YES","⏳ No"))</f>
        <v/>
      </c>
      <c r="T11" s="49">
        <f>IF('Config'!$E$13="Not Launched Yet","",IF('Config'!$D$13="","—",DATEDIF(DATE(LEFT(TEXT('Config'!$D$13,"YYYY-MM-DD"),4),MID(TEXT('Config'!$D$13,"YYYY-MM-DD"),6,2),1),DATE(LEFT(A11,4),RIGHT(A11,2),1),"M")+1))</f>
        <v/>
      </c>
    </row>
    <row r="12">
      <c r="A12" s="9" t="inlineStr">
        <is>
          <t>2026-02</t>
        </is>
      </c>
      <c r="B12" s="9" t="inlineStr">
        <is>
          <t>Lion10</t>
        </is>
      </c>
      <c r="C12" s="9" t="inlineStr">
        <is>
          <t>(Lion10)</t>
        </is>
      </c>
      <c r="D12" s="46">
        <f>IF('Config'!$E$14="Not Launched Yet","",IF(Monthly_Data!BM4="",0,Monthly_Data!BM4))</f>
        <v/>
      </c>
      <c r="E12" s="47">
        <f>IF('Config'!$E$14="Not Launched Yet","",IF(Monthly_Data!BM4="",0,Monthly_Data!BM4*CONFIG_DIAMOND_RATE*CONFIG_TAKE_RATE))</f>
        <v/>
      </c>
      <c r="F12" s="47">
        <f>IF('Config'!$E$14="Not Launched Yet","",IF(Monthly_Data!BO4&lt;&gt;"",Monthly_Data!BO4,MAX(CONFIG_CREATOR_BASE*IF(Monthly_Data!BN4="",0,Monthly_Data!BN4),Monthly_Data!BM4*CONFIG_DIAMOND_RATE*CONFIG_TAKE_RATE*CONFIG_CREATOR_REVSHARE)))</f>
        <v/>
      </c>
      <c r="G12" s="47">
        <f>IF('Config'!$E$14="Not Launched Yet","",SUM(Staff!Y4:Staff!Y200))</f>
        <v/>
      </c>
      <c r="H12" s="47">
        <f>IF('Config'!$E$14="Not Launched Yet","",IF(Monthly_Data!BP4&lt;&gt;"",Monthly_Data!BP4,CONFIG_RENT))</f>
        <v/>
      </c>
      <c r="I12" s="47">
        <f>IF('Config'!$E$14="Not Launched Yet","",IF(Monthly_Data!BQ4&lt;&gt;"",Monthly_Data!BQ4,CONFIG_UTILITY))</f>
        <v/>
      </c>
      <c r="J12" s="47">
        <f>IF('Config'!$E$14="Not Launched Yet","",IF(Monthly_Data!BR4&lt;&gt;"",Monthly_Data!BR4,CONFIG_BUFFER))</f>
        <v/>
      </c>
      <c r="K12" s="47">
        <f>IF('Config'!$E$14="Not Launched Yet","",IF((COUNTIF('Config'!$E$5:$E$14,"Active")+COUNTIF('Config'!$E$5:$E$14,"准备中")+COUNTIF('Config'!$E$5:$E$14,"Closed"))=0,0,SUM(Monthly_Data!BT4:BW4)/(COUNTIF('Config'!$E$5:$E$14,"Active")+COUNTIF('Config'!$E$5:$E$14,"准备中")+COUNTIF('Config'!$E$5:$E$14,"Closed"))))</f>
        <v/>
      </c>
      <c r="L12" s="47">
        <f>IF('Config'!$E$14="Not Launched Yet","",IF(Monthly_Data!BS4&lt;&gt;"",Monthly_Data!BS4,0))</f>
        <v/>
      </c>
      <c r="M12" s="47">
        <f>IF('Config'!$E$14="Not Launched Yet","",SUM(F12:L12))</f>
        <v/>
      </c>
      <c r="N12" s="47">
        <f>IF('Config'!$E$14="Not Launched Yet","",E12-M12)</f>
        <v/>
      </c>
      <c r="O12" s="48">
        <f>IF('Config'!$E$14="Not Launched Yet","",IF(E12=0,0,N12/E12))</f>
        <v/>
      </c>
      <c r="P12" s="9">
        <f>IF('Config'!$E$14="Not Launched Yet","",IFS(D12&gt;=CONFIG_STAGE_OPT,"🚀 Optimistic",D12&gt;=CONFIG_STAGE_STB,"✅ Stable",D12&gt;=CONFIG_STAGE_BE,"⚠️ Breakeven",TRUE,"🌱 Incubation"))</f>
        <v/>
      </c>
      <c r="Q12" s="47">
        <f>IF('Config'!$E$14="Not Launched Yet","",N12)</f>
        <v/>
      </c>
      <c r="R12" s="47">
        <f>IF('Config'!$E$14="Not Launched Yet","",'Config'!$F$14)</f>
        <v/>
      </c>
      <c r="S12" s="9">
        <f>IF('Config'!$E$14="Not Launched Yet","",IF(Q12&gt;='Config'!$F$14,"✅ YES","⏳ No"))</f>
        <v/>
      </c>
      <c r="T12" s="49">
        <f>IF('Config'!$E$14="Not Launched Yet","",IF('Config'!$D$14="","—",DATEDIF(DATE(LEFT(TEXT('Config'!$D$14,"YYYY-MM-DD"),4),MID(TEXT('Config'!$D$14,"YYYY-MM-DD"),6,2),1),DATE(LEFT(A12,4),RIGHT(A12,2),1),"M")+1))</f>
        <v/>
      </c>
    </row>
    <row r="13">
      <c r="A13" s="34" t="inlineStr">
        <is>
          <t>2026-03</t>
        </is>
      </c>
      <c r="B13" s="34" t="inlineStr">
        <is>
          <t>Lion01</t>
        </is>
      </c>
      <c r="C13" s="34" t="inlineStr">
        <is>
          <t>Tropi</t>
        </is>
      </c>
      <c r="D13" s="42">
        <f>IF('Config'!$E$5="Not Launched Yet","",IF(Monthly_Data!B5="",0,Monthly_Data!B5))</f>
        <v/>
      </c>
      <c r="E13" s="43">
        <f>IF('Config'!$E$5="Not Launched Yet","",IF(Monthly_Data!B5="",0,Monthly_Data!B5*CONFIG_DIAMOND_RATE*CONFIG_TAKE_RATE))</f>
        <v/>
      </c>
      <c r="F13" s="43">
        <f>IF('Config'!$E$5="Not Launched Yet","",IF(Monthly_Data!D5&lt;&gt;"",Monthly_Data!D5,MAX(CONFIG_CREATOR_BASE*IF(Monthly_Data!C5="",0,Monthly_Data!C5),Monthly_Data!B5*CONFIG_DIAMOND_RATE*CONFIG_TAKE_RATE*CONFIG_CREATOR_REVSHARE)))</f>
        <v/>
      </c>
      <c r="G13" s="43">
        <f>IF('Config'!$E$5="Not Launched Yet","",SUM(Staff!P4:Staff!P200))</f>
        <v/>
      </c>
      <c r="H13" s="43">
        <f>IF('Config'!$E$5="Not Launched Yet","",IF(Monthly_Data!E5&lt;&gt;"",Monthly_Data!E5,CONFIG_RENT))</f>
        <v/>
      </c>
      <c r="I13" s="43">
        <f>IF('Config'!$E$5="Not Launched Yet","",IF(Monthly_Data!F5&lt;&gt;"",Monthly_Data!F5,CONFIG_UTILITY))</f>
        <v/>
      </c>
      <c r="J13" s="43">
        <f>IF('Config'!$E$5="Not Launched Yet","",IF(Monthly_Data!G5&lt;&gt;"",Monthly_Data!G5,CONFIG_BUFFER))</f>
        <v/>
      </c>
      <c r="K13" s="43">
        <f>IF('Config'!$E$5="Not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13" s="43">
        <f>IF('Config'!$E$5="Not Launched Yet","",IF(Monthly_Data!H5&lt;&gt;"",Monthly_Data!H5,0))</f>
        <v/>
      </c>
      <c r="M13" s="43">
        <f>IF('Config'!$E$5="Not Launched Yet","",SUM(F13:L13))</f>
        <v/>
      </c>
      <c r="N13" s="43">
        <f>IF('Config'!$E$5="Not Launched Yet","",E13-M13)</f>
        <v/>
      </c>
      <c r="O13" s="44">
        <f>IF('Config'!$E$5="Not Launched Yet","",IF(E13=0,0,N13/E13))</f>
        <v/>
      </c>
      <c r="P13" s="45">
        <f>IF('Config'!$E$5="Not Launched Yet","",IFS(D13&gt;=CONFIG_STAGE_OPT,"🚀 Optimistic",D13&gt;=CONFIG_STAGE_STB,"✅ Stable",D13&gt;=CONFIG_STAGE_BE,"⚠️ Breakeven",TRUE,"🌱 Incubation"))</f>
        <v/>
      </c>
      <c r="Q13" s="43">
        <f>IF('Config'!$E$5="Not Launched Yet","",N13+N3)</f>
        <v/>
      </c>
      <c r="R13" s="43">
        <f>IF('Config'!$E$5="Not Launched Yet","",'Config'!$F$5)</f>
        <v/>
      </c>
      <c r="S13" s="45">
        <f>IF('Config'!$E$5="Not Launched Yet","",IF(Q13&gt;='Config'!$F$5,"✅ YES","⏳ No"))</f>
        <v/>
      </c>
      <c r="T13" s="26">
        <f>IF('Config'!$E$5="Not Launched Yet","",IF('Config'!$D$5="","—",DATEDIF(DATE(LEFT(TEXT('Config'!$D$5,"YYYY-MM-DD"),4),MID(TEXT('Config'!$D$5,"YYYY-MM-DD"),6,2),1),DATE(LEFT(A13,4),RIGHT(A13,2),1),"M")+1))</f>
        <v/>
      </c>
    </row>
    <row r="14">
      <c r="A14" s="34" t="inlineStr">
        <is>
          <t>2026-03</t>
        </is>
      </c>
      <c r="B14" s="34" t="inlineStr">
        <is>
          <t>Lion02</t>
        </is>
      </c>
      <c r="C14" s="34" t="inlineStr">
        <is>
          <t>Kangri</t>
        </is>
      </c>
      <c r="D14" s="42">
        <f>IF('Config'!$E$6="Not Launched Yet","",IF(Monthly_Data!I5="",0,Monthly_Data!I5))</f>
        <v/>
      </c>
      <c r="E14" s="43">
        <f>IF('Config'!$E$6="Not Launched Yet","",IF(Monthly_Data!I5="",0,Monthly_Data!I5*CONFIG_DIAMOND_RATE*CONFIG_TAKE_RATE))</f>
        <v/>
      </c>
      <c r="F14" s="43">
        <f>IF('Config'!$E$6="Not Launched Yet","",IF(Monthly_Data!K5&lt;&gt;"",Monthly_Data!K5,MAX(CONFIG_CREATOR_BASE*IF(Monthly_Data!J5="",0,Monthly_Data!J5),Monthly_Data!I5*CONFIG_DIAMOND_RATE*CONFIG_TAKE_RATE*CONFIG_CREATOR_REVSHARE)))</f>
        <v/>
      </c>
      <c r="G14" s="43">
        <f>IF('Config'!$E$6="Not Launched Yet","",SUM(Staff!Q4:Staff!Q200))</f>
        <v/>
      </c>
      <c r="H14" s="43">
        <f>IF('Config'!$E$6="Not Launched Yet","",IF(Monthly_Data!L5&lt;&gt;"",Monthly_Data!L5,CONFIG_RENT))</f>
        <v/>
      </c>
      <c r="I14" s="43">
        <f>IF('Config'!$E$6="Not Launched Yet","",IF(Monthly_Data!M5&lt;&gt;"",Monthly_Data!M5,CONFIG_UTILITY))</f>
        <v/>
      </c>
      <c r="J14" s="43">
        <f>IF('Config'!$E$6="Not Launched Yet","",IF(Monthly_Data!N5&lt;&gt;"",Monthly_Data!N5,CONFIG_BUFFER))</f>
        <v/>
      </c>
      <c r="K14" s="43">
        <f>IF('Config'!$E$6="Not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14" s="43">
        <f>IF('Config'!$E$6="Not Launched Yet","",IF(Monthly_Data!O5&lt;&gt;"",Monthly_Data!O5,0))</f>
        <v/>
      </c>
      <c r="M14" s="43">
        <f>IF('Config'!$E$6="Not Launched Yet","",SUM(F14:L14))</f>
        <v/>
      </c>
      <c r="N14" s="43">
        <f>IF('Config'!$E$6="Not Launched Yet","",E14-M14)</f>
        <v/>
      </c>
      <c r="O14" s="44">
        <f>IF('Config'!$E$6="Not Launched Yet","",IF(E14=0,0,N14/E14))</f>
        <v/>
      </c>
      <c r="P14" s="45">
        <f>IF('Config'!$E$6="Not Launched Yet","",IFS(D14&gt;=CONFIG_STAGE_OPT,"🚀 Optimistic",D14&gt;=CONFIG_STAGE_STB,"✅ Stable",D14&gt;=CONFIG_STAGE_BE,"⚠️ Breakeven",TRUE,"🌱 Incubation"))</f>
        <v/>
      </c>
      <c r="Q14" s="43">
        <f>IF('Config'!$E$6="Not Launched Yet","",N14+N4)</f>
        <v/>
      </c>
      <c r="R14" s="43">
        <f>IF('Config'!$E$6="Not Launched Yet","",'Config'!$F$6)</f>
        <v/>
      </c>
      <c r="S14" s="45">
        <f>IF('Config'!$E$6="Not Launched Yet","",IF(Q14&gt;='Config'!$F$6,"✅ YES","⏳ No"))</f>
        <v/>
      </c>
      <c r="T14" s="26">
        <f>IF('Config'!$E$6="Not Launched Yet","",IF('Config'!$D$6="","—",DATEDIF(DATE(LEFT(TEXT('Config'!$D$6,"YYYY-MM-DD"),4),MID(TEXT('Config'!$D$6,"YYYY-MM-DD"),6,2),1),DATE(LEFT(A14,4),RIGHT(A14,2),1),"M")+1))</f>
        <v/>
      </c>
    </row>
    <row r="15">
      <c r="A15" s="9" t="inlineStr">
        <is>
          <t>2026-03</t>
        </is>
      </c>
      <c r="B15" s="9" t="inlineStr">
        <is>
          <t>Lion03</t>
        </is>
      </c>
      <c r="C15" s="9" t="inlineStr">
        <is>
          <t>(Lion03)</t>
        </is>
      </c>
      <c r="D15" s="46">
        <f>IF('Config'!$E$7="Not Launched Yet","",IF(Monthly_Data!P5="",0,Monthly_Data!P5))</f>
        <v/>
      </c>
      <c r="E15" s="47">
        <f>IF('Config'!$E$7="Not Launched Yet","",IF(Monthly_Data!P5="",0,Monthly_Data!P5*CONFIG_DIAMOND_RATE*CONFIG_TAKE_RATE))</f>
        <v/>
      </c>
      <c r="F15" s="47">
        <f>IF('Config'!$E$7="Not Launched Yet","",IF(Monthly_Data!R5&lt;&gt;"",Monthly_Data!R5,MAX(CONFIG_CREATOR_BASE*IF(Monthly_Data!Q5="",0,Monthly_Data!Q5),Monthly_Data!P5*CONFIG_DIAMOND_RATE*CONFIG_TAKE_RATE*CONFIG_CREATOR_REVSHARE)))</f>
        <v/>
      </c>
      <c r="G15" s="47">
        <f>IF('Config'!$E$7="Not Launched Yet","",SUM(Staff!R4:Staff!R200))</f>
        <v/>
      </c>
      <c r="H15" s="47">
        <f>IF('Config'!$E$7="Not Launched Yet","",IF(Monthly_Data!S5&lt;&gt;"",Monthly_Data!S5,CONFIG_RENT))</f>
        <v/>
      </c>
      <c r="I15" s="47">
        <f>IF('Config'!$E$7="Not Launched Yet","",IF(Monthly_Data!T5&lt;&gt;"",Monthly_Data!T5,CONFIG_UTILITY))</f>
        <v/>
      </c>
      <c r="J15" s="47">
        <f>IF('Config'!$E$7="Not Launched Yet","",IF(Monthly_Data!U5&lt;&gt;"",Monthly_Data!U5,CONFIG_BUFFER))</f>
        <v/>
      </c>
      <c r="K15" s="47">
        <f>IF('Config'!$E$7="Not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15" s="47">
        <f>IF('Config'!$E$7="Not Launched Yet","",IF(Monthly_Data!V5&lt;&gt;"",Monthly_Data!V5,0))</f>
        <v/>
      </c>
      <c r="M15" s="47">
        <f>IF('Config'!$E$7="Not Launched Yet","",SUM(F15:L15))</f>
        <v/>
      </c>
      <c r="N15" s="47">
        <f>IF('Config'!$E$7="Not Launched Yet","",E15-M15)</f>
        <v/>
      </c>
      <c r="O15" s="48">
        <f>IF('Config'!$E$7="Not Launched Yet","",IF(E15=0,0,N15/E15))</f>
        <v/>
      </c>
      <c r="P15" s="9">
        <f>IF('Config'!$E$7="Not Launched Yet","",IFS(D15&gt;=CONFIG_STAGE_OPT,"🚀 Optimistic",D15&gt;=CONFIG_STAGE_STB,"✅ Stable",D15&gt;=CONFIG_STAGE_BE,"⚠️ Breakeven",TRUE,"🌱 Incubation"))</f>
        <v/>
      </c>
      <c r="Q15" s="47">
        <f>IF('Config'!$E$7="Not Launched Yet","",N15+N5)</f>
        <v/>
      </c>
      <c r="R15" s="47">
        <f>IF('Config'!$E$7="Not Launched Yet","",'Config'!$F$7)</f>
        <v/>
      </c>
      <c r="S15" s="9">
        <f>IF('Config'!$E$7="Not Launched Yet","",IF(Q15&gt;='Config'!$F$7,"✅ YES","⏳ No"))</f>
        <v/>
      </c>
      <c r="T15" s="49">
        <f>IF('Config'!$E$7="Not Launched Yet","",IF('Config'!$D$7="","—",DATEDIF(DATE(LEFT(TEXT('Config'!$D$7,"YYYY-MM-DD"),4),MID(TEXT('Config'!$D$7,"YYYY-MM-DD"),6,2),1),DATE(LEFT(A15,4),RIGHT(A15,2),1),"M")+1))</f>
        <v/>
      </c>
    </row>
    <row r="16">
      <c r="A16" s="9" t="inlineStr">
        <is>
          <t>2026-03</t>
        </is>
      </c>
      <c r="B16" s="9" t="inlineStr">
        <is>
          <t>Lion04</t>
        </is>
      </c>
      <c r="C16" s="9" t="inlineStr">
        <is>
          <t>(Lion04)</t>
        </is>
      </c>
      <c r="D16" s="46">
        <f>IF('Config'!$E$8="Not Launched Yet","",IF(Monthly_Data!W5="",0,Monthly_Data!W5))</f>
        <v/>
      </c>
      <c r="E16" s="47">
        <f>IF('Config'!$E$8="Not Launched Yet","",IF(Monthly_Data!W5="",0,Monthly_Data!W5*CONFIG_DIAMOND_RATE*CONFIG_TAKE_RATE))</f>
        <v/>
      </c>
      <c r="F16" s="47">
        <f>IF('Config'!$E$8="Not Launched Yet","",IF(Monthly_Data!Y5&lt;&gt;"",Monthly_Data!Y5,MAX(CONFIG_CREATOR_BASE*IF(Monthly_Data!X5="",0,Monthly_Data!X5),Monthly_Data!W5*CONFIG_DIAMOND_RATE*CONFIG_TAKE_RATE*CONFIG_CREATOR_REVSHARE)))</f>
        <v/>
      </c>
      <c r="G16" s="47">
        <f>IF('Config'!$E$8="Not Launched Yet","",SUM(Staff!S4:Staff!S200))</f>
        <v/>
      </c>
      <c r="H16" s="47">
        <f>IF('Config'!$E$8="Not Launched Yet","",IF(Monthly_Data!Z5&lt;&gt;"",Monthly_Data!Z5,CONFIG_RENT))</f>
        <v/>
      </c>
      <c r="I16" s="47">
        <f>IF('Config'!$E$8="Not Launched Yet","",IF(Monthly_Data!AA5&lt;&gt;"",Monthly_Data!AA5,CONFIG_UTILITY))</f>
        <v/>
      </c>
      <c r="J16" s="47">
        <f>IF('Config'!$E$8="Not Launched Yet","",IF(Monthly_Data!AB5&lt;&gt;"",Monthly_Data!AB5,CONFIG_BUFFER))</f>
        <v/>
      </c>
      <c r="K16" s="47">
        <f>IF('Config'!$E$8="Not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16" s="47">
        <f>IF('Config'!$E$8="Not Launched Yet","",IF(Monthly_Data!AC5&lt;&gt;"",Monthly_Data!AC5,0))</f>
        <v/>
      </c>
      <c r="M16" s="47">
        <f>IF('Config'!$E$8="Not Launched Yet","",SUM(F16:L16))</f>
        <v/>
      </c>
      <c r="N16" s="47">
        <f>IF('Config'!$E$8="Not Launched Yet","",E16-M16)</f>
        <v/>
      </c>
      <c r="O16" s="48">
        <f>IF('Config'!$E$8="Not Launched Yet","",IF(E16=0,0,N16/E16))</f>
        <v/>
      </c>
      <c r="P16" s="9">
        <f>IF('Config'!$E$8="Not Launched Yet","",IFS(D16&gt;=CONFIG_STAGE_OPT,"🚀 Optimistic",D16&gt;=CONFIG_STAGE_STB,"✅ Stable",D16&gt;=CONFIG_STAGE_BE,"⚠️ Breakeven",TRUE,"🌱 Incubation"))</f>
        <v/>
      </c>
      <c r="Q16" s="47">
        <f>IF('Config'!$E$8="Not Launched Yet","",N16+N6)</f>
        <v/>
      </c>
      <c r="R16" s="47">
        <f>IF('Config'!$E$8="Not Launched Yet","",'Config'!$F$8)</f>
        <v/>
      </c>
      <c r="S16" s="9">
        <f>IF('Config'!$E$8="Not Launched Yet","",IF(Q16&gt;='Config'!$F$8,"✅ YES","⏳ No"))</f>
        <v/>
      </c>
      <c r="T16" s="49">
        <f>IF('Config'!$E$8="Not Launched Yet","",IF('Config'!$D$8="","—",DATEDIF(DATE(LEFT(TEXT('Config'!$D$8,"YYYY-MM-DD"),4),MID(TEXT('Config'!$D$8,"YYYY-MM-DD"),6,2),1),DATE(LEFT(A16,4),RIGHT(A16,2),1),"M")+1))</f>
        <v/>
      </c>
    </row>
    <row r="17">
      <c r="A17" s="9" t="inlineStr">
        <is>
          <t>2026-03</t>
        </is>
      </c>
      <c r="B17" s="9" t="inlineStr">
        <is>
          <t>Lion05</t>
        </is>
      </c>
      <c r="C17" s="9" t="inlineStr">
        <is>
          <t>(Lion05)</t>
        </is>
      </c>
      <c r="D17" s="46">
        <f>IF('Config'!$E$9="Not Launched Yet","",IF(Monthly_Data!AD5="",0,Monthly_Data!AD5))</f>
        <v/>
      </c>
      <c r="E17" s="47">
        <f>IF('Config'!$E$9="Not Launched Yet","",IF(Monthly_Data!AD5="",0,Monthly_Data!AD5*CONFIG_DIAMOND_RATE*CONFIG_TAKE_RATE))</f>
        <v/>
      </c>
      <c r="F17" s="47">
        <f>IF('Config'!$E$9="Not Launched Yet","",IF(Monthly_Data!AF5&lt;&gt;"",Monthly_Data!AF5,MAX(CONFIG_CREATOR_BASE*IF(Monthly_Data!AE5="",0,Monthly_Data!AE5),Monthly_Data!AD5*CONFIG_DIAMOND_RATE*CONFIG_TAKE_RATE*CONFIG_CREATOR_REVSHARE)))</f>
        <v/>
      </c>
      <c r="G17" s="47">
        <f>IF('Config'!$E$9="Not Launched Yet","",SUM(Staff!T4:Staff!T200))</f>
        <v/>
      </c>
      <c r="H17" s="47">
        <f>IF('Config'!$E$9="Not Launched Yet","",IF(Monthly_Data!AG5&lt;&gt;"",Monthly_Data!AG5,CONFIG_RENT))</f>
        <v/>
      </c>
      <c r="I17" s="47">
        <f>IF('Config'!$E$9="Not Launched Yet","",IF(Monthly_Data!AH5&lt;&gt;"",Monthly_Data!AH5,CONFIG_UTILITY))</f>
        <v/>
      </c>
      <c r="J17" s="47">
        <f>IF('Config'!$E$9="Not Launched Yet","",IF(Monthly_Data!AI5&lt;&gt;"",Monthly_Data!AI5,CONFIG_BUFFER))</f>
        <v/>
      </c>
      <c r="K17" s="47">
        <f>IF('Config'!$E$9="Not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17" s="47">
        <f>IF('Config'!$E$9="Not Launched Yet","",IF(Monthly_Data!AJ5&lt;&gt;"",Monthly_Data!AJ5,0))</f>
        <v/>
      </c>
      <c r="M17" s="47">
        <f>IF('Config'!$E$9="Not Launched Yet","",SUM(F17:L17))</f>
        <v/>
      </c>
      <c r="N17" s="47">
        <f>IF('Config'!$E$9="Not Launched Yet","",E17-M17)</f>
        <v/>
      </c>
      <c r="O17" s="48">
        <f>IF('Config'!$E$9="Not Launched Yet","",IF(E17=0,0,N17/E17))</f>
        <v/>
      </c>
      <c r="P17" s="9">
        <f>IF('Config'!$E$9="Not Launched Yet","",IFS(D17&gt;=CONFIG_STAGE_OPT,"🚀 Optimistic",D17&gt;=CONFIG_STAGE_STB,"✅ Stable",D17&gt;=CONFIG_STAGE_BE,"⚠️ Breakeven",TRUE,"🌱 Incubation"))</f>
        <v/>
      </c>
      <c r="Q17" s="47">
        <f>IF('Config'!$E$9="Not Launched Yet","",N17+N7)</f>
        <v/>
      </c>
      <c r="R17" s="47">
        <f>IF('Config'!$E$9="Not Launched Yet","",'Config'!$F$9)</f>
        <v/>
      </c>
      <c r="S17" s="9">
        <f>IF('Config'!$E$9="Not Launched Yet","",IF(Q17&gt;='Config'!$F$9,"✅ YES","⏳ No"))</f>
        <v/>
      </c>
      <c r="T17" s="49">
        <f>IF('Config'!$E$9="Not Launched Yet","",IF('Config'!$D$9="","—",DATEDIF(DATE(LEFT(TEXT('Config'!$D$9,"YYYY-MM-DD"),4),MID(TEXT('Config'!$D$9,"YYYY-MM-DD"),6,2),1),DATE(LEFT(A17,4),RIGHT(A17,2),1),"M")+1))</f>
        <v/>
      </c>
    </row>
    <row r="18">
      <c r="A18" s="9" t="inlineStr">
        <is>
          <t>2026-03</t>
        </is>
      </c>
      <c r="B18" s="9" t="inlineStr">
        <is>
          <t>Lion06</t>
        </is>
      </c>
      <c r="C18" s="9" t="inlineStr">
        <is>
          <t>(Lion06)</t>
        </is>
      </c>
      <c r="D18" s="46">
        <f>IF('Config'!$E$10="Not Launched Yet","",IF(Monthly_Data!AK5="",0,Monthly_Data!AK5))</f>
        <v/>
      </c>
      <c r="E18" s="47">
        <f>IF('Config'!$E$10="Not Launched Yet","",IF(Monthly_Data!AK5="",0,Monthly_Data!AK5*CONFIG_DIAMOND_RATE*CONFIG_TAKE_RATE))</f>
        <v/>
      </c>
      <c r="F18" s="47">
        <f>IF('Config'!$E$10="Not Launched Yet","",IF(Monthly_Data!AM5&lt;&gt;"",Monthly_Data!AM5,MAX(CONFIG_CREATOR_BASE*IF(Monthly_Data!AL5="",0,Monthly_Data!AL5),Monthly_Data!AK5*CONFIG_DIAMOND_RATE*CONFIG_TAKE_RATE*CONFIG_CREATOR_REVSHARE)))</f>
        <v/>
      </c>
      <c r="G18" s="47">
        <f>IF('Config'!$E$10="Not Launched Yet","",SUM(Staff!U4:Staff!U200))</f>
        <v/>
      </c>
      <c r="H18" s="47">
        <f>IF('Config'!$E$10="Not Launched Yet","",IF(Monthly_Data!AN5&lt;&gt;"",Monthly_Data!AN5,CONFIG_RENT))</f>
        <v/>
      </c>
      <c r="I18" s="47">
        <f>IF('Config'!$E$10="Not Launched Yet","",IF(Monthly_Data!AO5&lt;&gt;"",Monthly_Data!AO5,CONFIG_UTILITY))</f>
        <v/>
      </c>
      <c r="J18" s="47">
        <f>IF('Config'!$E$10="Not Launched Yet","",IF(Monthly_Data!AP5&lt;&gt;"",Monthly_Data!AP5,CONFIG_BUFFER))</f>
        <v/>
      </c>
      <c r="K18" s="47">
        <f>IF('Config'!$E$10="Not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18" s="47">
        <f>IF('Config'!$E$10="Not Launched Yet","",IF(Monthly_Data!AQ5&lt;&gt;"",Monthly_Data!AQ5,0))</f>
        <v/>
      </c>
      <c r="M18" s="47">
        <f>IF('Config'!$E$10="Not Launched Yet","",SUM(F18:L18))</f>
        <v/>
      </c>
      <c r="N18" s="47">
        <f>IF('Config'!$E$10="Not Launched Yet","",E18-M18)</f>
        <v/>
      </c>
      <c r="O18" s="48">
        <f>IF('Config'!$E$10="Not Launched Yet","",IF(E18=0,0,N18/E18))</f>
        <v/>
      </c>
      <c r="P18" s="9">
        <f>IF('Config'!$E$10="Not Launched Yet","",IFS(D18&gt;=CONFIG_STAGE_OPT,"🚀 Optimistic",D18&gt;=CONFIG_STAGE_STB,"✅ Stable",D18&gt;=CONFIG_STAGE_BE,"⚠️ Breakeven",TRUE,"🌱 Incubation"))</f>
        <v/>
      </c>
      <c r="Q18" s="47">
        <f>IF('Config'!$E$10="Not Launched Yet","",N18+N8)</f>
        <v/>
      </c>
      <c r="R18" s="47">
        <f>IF('Config'!$E$10="Not Launched Yet","",'Config'!$F$10)</f>
        <v/>
      </c>
      <c r="S18" s="9">
        <f>IF('Config'!$E$10="Not Launched Yet","",IF(Q18&gt;='Config'!$F$10,"✅ YES","⏳ No"))</f>
        <v/>
      </c>
      <c r="T18" s="49">
        <f>IF('Config'!$E$10="Not Launched Yet","",IF('Config'!$D$10="","—",DATEDIF(DATE(LEFT(TEXT('Config'!$D$10,"YYYY-MM-DD"),4),MID(TEXT('Config'!$D$10,"YYYY-MM-DD"),6,2),1),DATE(LEFT(A18,4),RIGHT(A18,2),1),"M")+1))</f>
        <v/>
      </c>
    </row>
    <row r="19">
      <c r="A19" s="9" t="inlineStr">
        <is>
          <t>2026-03</t>
        </is>
      </c>
      <c r="B19" s="9" t="inlineStr">
        <is>
          <t>Lion07</t>
        </is>
      </c>
      <c r="C19" s="9" t="inlineStr">
        <is>
          <t>(Lion07)</t>
        </is>
      </c>
      <c r="D19" s="46">
        <f>IF('Config'!$E$11="Not Launched Yet","",IF(Monthly_Data!AR5="",0,Monthly_Data!AR5))</f>
        <v/>
      </c>
      <c r="E19" s="47">
        <f>IF('Config'!$E$11="Not Launched Yet","",IF(Monthly_Data!AR5="",0,Monthly_Data!AR5*CONFIG_DIAMOND_RATE*CONFIG_TAKE_RATE))</f>
        <v/>
      </c>
      <c r="F19" s="47">
        <f>IF('Config'!$E$11="Not Launched Yet","",IF(Monthly_Data!AT5&lt;&gt;"",Monthly_Data!AT5,MAX(CONFIG_CREATOR_BASE*IF(Monthly_Data!AS5="",0,Monthly_Data!AS5),Monthly_Data!AR5*CONFIG_DIAMOND_RATE*CONFIG_TAKE_RATE*CONFIG_CREATOR_REVSHARE)))</f>
        <v/>
      </c>
      <c r="G19" s="47">
        <f>IF('Config'!$E$11="Not Launched Yet","",SUM(Staff!V4:Staff!V200))</f>
        <v/>
      </c>
      <c r="H19" s="47">
        <f>IF('Config'!$E$11="Not Launched Yet","",IF(Monthly_Data!AU5&lt;&gt;"",Monthly_Data!AU5,CONFIG_RENT))</f>
        <v/>
      </c>
      <c r="I19" s="47">
        <f>IF('Config'!$E$11="Not Launched Yet","",IF(Monthly_Data!AV5&lt;&gt;"",Monthly_Data!AV5,CONFIG_UTILITY))</f>
        <v/>
      </c>
      <c r="J19" s="47">
        <f>IF('Config'!$E$11="Not Launched Yet","",IF(Monthly_Data!AW5&lt;&gt;"",Monthly_Data!AW5,CONFIG_BUFFER))</f>
        <v/>
      </c>
      <c r="K19" s="47">
        <f>IF('Config'!$E$11="Not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19" s="47">
        <f>IF('Config'!$E$11="Not Launched Yet","",IF(Monthly_Data!AX5&lt;&gt;"",Monthly_Data!AX5,0))</f>
        <v/>
      </c>
      <c r="M19" s="47">
        <f>IF('Config'!$E$11="Not Launched Yet","",SUM(F19:L19))</f>
        <v/>
      </c>
      <c r="N19" s="47">
        <f>IF('Config'!$E$11="Not Launched Yet","",E19-M19)</f>
        <v/>
      </c>
      <c r="O19" s="48">
        <f>IF('Config'!$E$11="Not Launched Yet","",IF(E19=0,0,N19/E19))</f>
        <v/>
      </c>
      <c r="P19" s="9">
        <f>IF('Config'!$E$11="Not Launched Yet","",IFS(D19&gt;=CONFIG_STAGE_OPT,"🚀 Optimistic",D19&gt;=CONFIG_STAGE_STB,"✅ Stable",D19&gt;=CONFIG_STAGE_BE,"⚠️ Breakeven",TRUE,"🌱 Incubation"))</f>
        <v/>
      </c>
      <c r="Q19" s="47">
        <f>IF('Config'!$E$11="Not Launched Yet","",N19+N9)</f>
        <v/>
      </c>
      <c r="R19" s="47">
        <f>IF('Config'!$E$11="Not Launched Yet","",'Config'!$F$11)</f>
        <v/>
      </c>
      <c r="S19" s="9">
        <f>IF('Config'!$E$11="Not Launched Yet","",IF(Q19&gt;='Config'!$F$11,"✅ YES","⏳ No"))</f>
        <v/>
      </c>
      <c r="T19" s="49">
        <f>IF('Config'!$E$11="Not Launched Yet","",IF('Config'!$D$11="","—",DATEDIF(DATE(LEFT(TEXT('Config'!$D$11,"YYYY-MM-DD"),4),MID(TEXT('Config'!$D$11,"YYYY-MM-DD"),6,2),1),DATE(LEFT(A19,4),RIGHT(A19,2),1),"M")+1))</f>
        <v/>
      </c>
    </row>
    <row r="20">
      <c r="A20" s="9" t="inlineStr">
        <is>
          <t>2026-03</t>
        </is>
      </c>
      <c r="B20" s="9" t="inlineStr">
        <is>
          <t>Lion08</t>
        </is>
      </c>
      <c r="C20" s="9" t="inlineStr">
        <is>
          <t>(Lion08)</t>
        </is>
      </c>
      <c r="D20" s="46">
        <f>IF('Config'!$E$12="Not Launched Yet","",IF(Monthly_Data!AY5="",0,Monthly_Data!AY5))</f>
        <v/>
      </c>
      <c r="E20" s="47">
        <f>IF('Config'!$E$12="Not Launched Yet","",IF(Monthly_Data!AY5="",0,Monthly_Data!AY5*CONFIG_DIAMOND_RATE*CONFIG_TAKE_RATE))</f>
        <v/>
      </c>
      <c r="F20" s="47">
        <f>IF('Config'!$E$12="Not Launched Yet","",IF(Monthly_Data!BA5&lt;&gt;"",Monthly_Data!BA5,MAX(CONFIG_CREATOR_BASE*IF(Monthly_Data!AZ5="",0,Monthly_Data!AZ5),Monthly_Data!AY5*CONFIG_DIAMOND_RATE*CONFIG_TAKE_RATE*CONFIG_CREATOR_REVSHARE)))</f>
        <v/>
      </c>
      <c r="G20" s="47">
        <f>IF('Config'!$E$12="Not Launched Yet","",SUM(Staff!W4:Staff!W200))</f>
        <v/>
      </c>
      <c r="H20" s="47">
        <f>IF('Config'!$E$12="Not Launched Yet","",IF(Monthly_Data!BB5&lt;&gt;"",Monthly_Data!BB5,CONFIG_RENT))</f>
        <v/>
      </c>
      <c r="I20" s="47">
        <f>IF('Config'!$E$12="Not Launched Yet","",IF(Monthly_Data!BC5&lt;&gt;"",Monthly_Data!BC5,CONFIG_UTILITY))</f>
        <v/>
      </c>
      <c r="J20" s="47">
        <f>IF('Config'!$E$12="Not Launched Yet","",IF(Monthly_Data!BD5&lt;&gt;"",Monthly_Data!BD5,CONFIG_BUFFER))</f>
        <v/>
      </c>
      <c r="K20" s="47">
        <f>IF('Config'!$E$12="Not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20" s="47">
        <f>IF('Config'!$E$12="Not Launched Yet","",IF(Monthly_Data!BE5&lt;&gt;"",Monthly_Data!BE5,0))</f>
        <v/>
      </c>
      <c r="M20" s="47">
        <f>IF('Config'!$E$12="Not Launched Yet","",SUM(F20:L20))</f>
        <v/>
      </c>
      <c r="N20" s="47">
        <f>IF('Config'!$E$12="Not Launched Yet","",E20-M20)</f>
        <v/>
      </c>
      <c r="O20" s="48">
        <f>IF('Config'!$E$12="Not Launched Yet","",IF(E20=0,0,N20/E20))</f>
        <v/>
      </c>
      <c r="P20" s="9">
        <f>IF('Config'!$E$12="Not Launched Yet","",IFS(D20&gt;=CONFIG_STAGE_OPT,"🚀 Optimistic",D20&gt;=CONFIG_STAGE_STB,"✅ Stable",D20&gt;=CONFIG_STAGE_BE,"⚠️ Breakeven",TRUE,"🌱 Incubation"))</f>
        <v/>
      </c>
      <c r="Q20" s="47">
        <f>IF('Config'!$E$12="Not Launched Yet","",N20+N10)</f>
        <v/>
      </c>
      <c r="R20" s="47">
        <f>IF('Config'!$E$12="Not Launched Yet","",'Config'!$F$12)</f>
        <v/>
      </c>
      <c r="S20" s="9">
        <f>IF('Config'!$E$12="Not Launched Yet","",IF(Q20&gt;='Config'!$F$12,"✅ YES","⏳ No"))</f>
        <v/>
      </c>
      <c r="T20" s="49">
        <f>IF('Config'!$E$12="Not Launched Yet","",IF('Config'!$D$12="","—",DATEDIF(DATE(LEFT(TEXT('Config'!$D$12,"YYYY-MM-DD"),4),MID(TEXT('Config'!$D$12,"YYYY-MM-DD"),6,2),1),DATE(LEFT(A20,4),RIGHT(A20,2),1),"M")+1))</f>
        <v/>
      </c>
    </row>
    <row r="21">
      <c r="A21" s="9" t="inlineStr">
        <is>
          <t>2026-03</t>
        </is>
      </c>
      <c r="B21" s="9" t="inlineStr">
        <is>
          <t>Lion09</t>
        </is>
      </c>
      <c r="C21" s="9" t="inlineStr">
        <is>
          <t>(Lion09)</t>
        </is>
      </c>
      <c r="D21" s="46">
        <f>IF('Config'!$E$13="Not Launched Yet","",IF(Monthly_Data!BF5="",0,Monthly_Data!BF5))</f>
        <v/>
      </c>
      <c r="E21" s="47">
        <f>IF('Config'!$E$13="Not Launched Yet","",IF(Monthly_Data!BF5="",0,Monthly_Data!BF5*CONFIG_DIAMOND_RATE*CONFIG_TAKE_RATE))</f>
        <v/>
      </c>
      <c r="F21" s="47">
        <f>IF('Config'!$E$13="Not Launched Yet","",IF(Monthly_Data!BH5&lt;&gt;"",Monthly_Data!BH5,MAX(CONFIG_CREATOR_BASE*IF(Monthly_Data!BG5="",0,Monthly_Data!BG5),Monthly_Data!BF5*CONFIG_DIAMOND_RATE*CONFIG_TAKE_RATE*CONFIG_CREATOR_REVSHARE)))</f>
        <v/>
      </c>
      <c r="G21" s="47">
        <f>IF('Config'!$E$13="Not Launched Yet","",SUM(Staff!X4:Staff!X200))</f>
        <v/>
      </c>
      <c r="H21" s="47">
        <f>IF('Config'!$E$13="Not Launched Yet","",IF(Monthly_Data!BI5&lt;&gt;"",Monthly_Data!BI5,CONFIG_RENT))</f>
        <v/>
      </c>
      <c r="I21" s="47">
        <f>IF('Config'!$E$13="Not Launched Yet","",IF(Monthly_Data!BJ5&lt;&gt;"",Monthly_Data!BJ5,CONFIG_UTILITY))</f>
        <v/>
      </c>
      <c r="J21" s="47">
        <f>IF('Config'!$E$13="Not Launched Yet","",IF(Monthly_Data!BK5&lt;&gt;"",Monthly_Data!BK5,CONFIG_BUFFER))</f>
        <v/>
      </c>
      <c r="K21" s="47">
        <f>IF('Config'!$E$13="Not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21" s="47">
        <f>IF('Config'!$E$13="Not Launched Yet","",IF(Monthly_Data!BL5&lt;&gt;"",Monthly_Data!BL5,0))</f>
        <v/>
      </c>
      <c r="M21" s="47">
        <f>IF('Config'!$E$13="Not Launched Yet","",SUM(F21:L21))</f>
        <v/>
      </c>
      <c r="N21" s="47">
        <f>IF('Config'!$E$13="Not Launched Yet","",E21-M21)</f>
        <v/>
      </c>
      <c r="O21" s="48">
        <f>IF('Config'!$E$13="Not Launched Yet","",IF(E21=0,0,N21/E21))</f>
        <v/>
      </c>
      <c r="P21" s="9">
        <f>IF('Config'!$E$13="Not Launched Yet","",IFS(D21&gt;=CONFIG_STAGE_OPT,"🚀 Optimistic",D21&gt;=CONFIG_STAGE_STB,"✅ Stable",D21&gt;=CONFIG_STAGE_BE,"⚠️ Breakeven",TRUE,"🌱 Incubation"))</f>
        <v/>
      </c>
      <c r="Q21" s="47">
        <f>IF('Config'!$E$13="Not Launched Yet","",N21+N11)</f>
        <v/>
      </c>
      <c r="R21" s="47">
        <f>IF('Config'!$E$13="Not Launched Yet","",'Config'!$F$13)</f>
        <v/>
      </c>
      <c r="S21" s="9">
        <f>IF('Config'!$E$13="Not Launched Yet","",IF(Q21&gt;='Config'!$F$13,"✅ YES","⏳ No"))</f>
        <v/>
      </c>
      <c r="T21" s="49">
        <f>IF('Config'!$E$13="Not Launched Yet","",IF('Config'!$D$13="","—",DATEDIF(DATE(LEFT(TEXT('Config'!$D$13,"YYYY-MM-DD"),4),MID(TEXT('Config'!$D$13,"YYYY-MM-DD"),6,2),1),DATE(LEFT(A21,4),RIGHT(A21,2),1),"M")+1))</f>
        <v/>
      </c>
    </row>
    <row r="22">
      <c r="A22" s="9" t="inlineStr">
        <is>
          <t>2026-03</t>
        </is>
      </c>
      <c r="B22" s="9" t="inlineStr">
        <is>
          <t>Lion10</t>
        </is>
      </c>
      <c r="C22" s="9" t="inlineStr">
        <is>
          <t>(Lion10)</t>
        </is>
      </c>
      <c r="D22" s="46">
        <f>IF('Config'!$E$14="Not Launched Yet","",IF(Monthly_Data!BM5="",0,Monthly_Data!BM5))</f>
        <v/>
      </c>
      <c r="E22" s="47">
        <f>IF('Config'!$E$14="Not Launched Yet","",IF(Monthly_Data!BM5="",0,Monthly_Data!BM5*CONFIG_DIAMOND_RATE*CONFIG_TAKE_RATE))</f>
        <v/>
      </c>
      <c r="F22" s="47">
        <f>IF('Config'!$E$14="Not Launched Yet","",IF(Monthly_Data!BO5&lt;&gt;"",Monthly_Data!BO5,MAX(CONFIG_CREATOR_BASE*IF(Monthly_Data!BN5="",0,Monthly_Data!BN5),Monthly_Data!BM5*CONFIG_DIAMOND_RATE*CONFIG_TAKE_RATE*CONFIG_CREATOR_REVSHARE)))</f>
        <v/>
      </c>
      <c r="G22" s="47">
        <f>IF('Config'!$E$14="Not Launched Yet","",SUM(Staff!Y4:Staff!Y200))</f>
        <v/>
      </c>
      <c r="H22" s="47">
        <f>IF('Config'!$E$14="Not Launched Yet","",IF(Monthly_Data!BP5&lt;&gt;"",Monthly_Data!BP5,CONFIG_RENT))</f>
        <v/>
      </c>
      <c r="I22" s="47">
        <f>IF('Config'!$E$14="Not Launched Yet","",IF(Monthly_Data!BQ5&lt;&gt;"",Monthly_Data!BQ5,CONFIG_UTILITY))</f>
        <v/>
      </c>
      <c r="J22" s="47">
        <f>IF('Config'!$E$14="Not Launched Yet","",IF(Monthly_Data!BR5&lt;&gt;"",Monthly_Data!BR5,CONFIG_BUFFER))</f>
        <v/>
      </c>
      <c r="K22" s="47">
        <f>IF('Config'!$E$14="Not Launched Yet","",IF((COUNTIF('Config'!$E$5:$E$14,"Active")+COUNTIF('Config'!$E$5:$E$14,"准备中")+COUNTIF('Config'!$E$5:$E$14,"Closed"))=0,0,SUM(Monthly_Data!BT5:BW5)/(COUNTIF('Config'!$E$5:$E$14,"Active")+COUNTIF('Config'!$E$5:$E$14,"准备中")+COUNTIF('Config'!$E$5:$E$14,"Closed"))))</f>
        <v/>
      </c>
      <c r="L22" s="47">
        <f>IF('Config'!$E$14="Not Launched Yet","",IF(Monthly_Data!BS5&lt;&gt;"",Monthly_Data!BS5,0))</f>
        <v/>
      </c>
      <c r="M22" s="47">
        <f>IF('Config'!$E$14="Not Launched Yet","",SUM(F22:L22))</f>
        <v/>
      </c>
      <c r="N22" s="47">
        <f>IF('Config'!$E$14="Not Launched Yet","",E22-M22)</f>
        <v/>
      </c>
      <c r="O22" s="48">
        <f>IF('Config'!$E$14="Not Launched Yet","",IF(E22=0,0,N22/E22))</f>
        <v/>
      </c>
      <c r="P22" s="9">
        <f>IF('Config'!$E$14="Not Launched Yet","",IFS(D22&gt;=CONFIG_STAGE_OPT,"🚀 Optimistic",D22&gt;=CONFIG_STAGE_STB,"✅ Stable",D22&gt;=CONFIG_STAGE_BE,"⚠️ Breakeven",TRUE,"🌱 Incubation"))</f>
        <v/>
      </c>
      <c r="Q22" s="47">
        <f>IF('Config'!$E$14="Not Launched Yet","",N22+N12)</f>
        <v/>
      </c>
      <c r="R22" s="47">
        <f>IF('Config'!$E$14="Not Launched Yet","",'Config'!$F$14)</f>
        <v/>
      </c>
      <c r="S22" s="9">
        <f>IF('Config'!$E$14="Not Launched Yet","",IF(Q22&gt;='Config'!$F$14,"✅ YES","⏳ No"))</f>
        <v/>
      </c>
      <c r="T22" s="49">
        <f>IF('Config'!$E$14="Not Launched Yet","",IF('Config'!$D$14="","—",DATEDIF(DATE(LEFT(TEXT('Config'!$D$14,"YYYY-MM-DD"),4),MID(TEXT('Config'!$D$14,"YYYY-MM-DD"),6,2),1),DATE(LEFT(A22,4),RIGHT(A22,2),1),"M")+1))</f>
        <v/>
      </c>
    </row>
  </sheetData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8" customHeight="1">
      <c r="A1" s="1" t="inlineStr">
        <is>
          <t>🏠  Lion01 — Tropi  (Colombia)</t>
        </is>
      </c>
    </row>
    <row r="2">
      <c r="A2" s="12" t="inlineStr">
        <is>
          <t>Launch Date:</t>
        </is>
      </c>
      <c r="B2" s="50" t="inlineStr">
        <is>
          <t>2025-09-01</t>
        </is>
      </c>
      <c r="D2" s="12" t="inlineStr">
        <is>
          <t>Status:</t>
        </is>
      </c>
      <c r="E2" s="50" t="inlineStr">
        <is>
          <t>Active</t>
        </is>
      </c>
      <c r="G2" s="12" t="inlineStr">
        <is>
          <t>Market:</t>
        </is>
      </c>
      <c r="H2" s="50" t="inlineStr">
        <is>
          <t>Colombia</t>
        </is>
      </c>
    </row>
    <row r="4">
      <c r="A4" s="3" t="inlineStr">
        <is>
          <t>Month</t>
        </is>
      </c>
      <c r="B4" s="3" t="inlineStr">
        <is>
          <t>Diamonds</t>
        </is>
      </c>
      <c r="C4" s="3" t="inlineStr">
        <is>
          <t>Revenue</t>
        </is>
      </c>
      <c r="D4" s="3" t="inlineStr">
        <is>
          <t>Creator Sal.</t>
        </is>
      </c>
      <c r="E4" s="3" t="inlineStr">
        <is>
          <t>Staff Cost</t>
        </is>
      </c>
      <c r="F4" s="3" t="inlineStr">
        <is>
          <t>Rent</t>
        </is>
      </c>
      <c r="G4" s="3" t="inlineStr">
        <is>
          <t>Utility</t>
        </is>
      </c>
      <c r="H4" s="3" t="inlineStr">
        <is>
          <t>Buffer</t>
        </is>
      </c>
      <c r="I4" s="3" t="inlineStr">
        <is>
          <t>Admin</t>
        </is>
      </c>
      <c r="J4" s="3" t="inlineStr">
        <is>
          <t>Other</t>
        </is>
      </c>
      <c r="K4" s="3" t="inlineStr">
        <is>
          <t>Total Cost</t>
        </is>
      </c>
      <c r="L4" s="3" t="inlineStr">
        <is>
          <t>Gross Profit</t>
        </is>
      </c>
      <c r="M4" s="3" t="inlineStr">
        <is>
          <t>Margin %</t>
        </is>
      </c>
      <c r="N4" s="3" t="inlineStr">
        <is>
          <t>Stage</t>
        </is>
      </c>
      <c r="O4" s="3" t="inlineStr">
        <is>
          <t>Cumul. Net</t>
        </is>
      </c>
      <c r="P4" s="3" t="inlineStr">
        <is>
          <t>Initial Invest.</t>
        </is>
      </c>
      <c r="Q4" s="3" t="inlineStr">
        <is>
          <t>Recovered?</t>
        </is>
      </c>
      <c r="R4" s="3" t="inlineStr">
        <is>
          <t>Month #</t>
        </is>
      </c>
    </row>
    <row r="5">
      <c r="A5" s="45">
        <f>UE_Summary!A3</f>
        <v/>
      </c>
      <c r="B5" s="42">
        <f>UE_Summary!D3</f>
        <v/>
      </c>
      <c r="C5" s="43">
        <f>UE_Summary!E3</f>
        <v/>
      </c>
      <c r="D5" s="43">
        <f>UE_Summary!F3</f>
        <v/>
      </c>
      <c r="E5" s="43">
        <f>UE_Summary!G3</f>
        <v/>
      </c>
      <c r="F5" s="43">
        <f>UE_Summary!H3</f>
        <v/>
      </c>
      <c r="G5" s="43">
        <f>UE_Summary!I3</f>
        <v/>
      </c>
      <c r="H5" s="43">
        <f>UE_Summary!J3</f>
        <v/>
      </c>
      <c r="I5" s="43">
        <f>UE_Summary!K3</f>
        <v/>
      </c>
      <c r="J5" s="43">
        <f>UE_Summary!L3</f>
        <v/>
      </c>
      <c r="K5" s="43">
        <f>UE_Summary!M3</f>
        <v/>
      </c>
      <c r="L5" s="43">
        <f>UE_Summary!N3</f>
        <v/>
      </c>
      <c r="M5" s="44">
        <f>UE_Summary!O3</f>
        <v/>
      </c>
      <c r="N5" s="45">
        <f>UE_Summary!P3</f>
        <v/>
      </c>
      <c r="O5" s="43">
        <f>UE_Summary!Q3</f>
        <v/>
      </c>
      <c r="P5" s="43">
        <f>UE_Summary!R3</f>
        <v/>
      </c>
      <c r="Q5" s="45">
        <f>UE_Summary!S3</f>
        <v/>
      </c>
      <c r="R5" s="26">
        <f>UE_Summary!T3</f>
        <v/>
      </c>
    </row>
    <row r="6">
      <c r="A6" s="45">
        <f>UE_Summary!A13</f>
        <v/>
      </c>
      <c r="B6" s="42">
        <f>UE_Summary!D13</f>
        <v/>
      </c>
      <c r="C6" s="43">
        <f>UE_Summary!E13</f>
        <v/>
      </c>
      <c r="D6" s="43">
        <f>UE_Summary!F13</f>
        <v/>
      </c>
      <c r="E6" s="43">
        <f>UE_Summary!G13</f>
        <v/>
      </c>
      <c r="F6" s="43">
        <f>UE_Summary!H13</f>
        <v/>
      </c>
      <c r="G6" s="43">
        <f>UE_Summary!I13</f>
        <v/>
      </c>
      <c r="H6" s="43">
        <f>UE_Summary!J13</f>
        <v/>
      </c>
      <c r="I6" s="43">
        <f>UE_Summary!K13</f>
        <v/>
      </c>
      <c r="J6" s="43">
        <f>UE_Summary!L13</f>
        <v/>
      </c>
      <c r="K6" s="43">
        <f>UE_Summary!M13</f>
        <v/>
      </c>
      <c r="L6" s="43">
        <f>UE_Summary!N13</f>
        <v/>
      </c>
      <c r="M6" s="44">
        <f>UE_Summary!O13</f>
        <v/>
      </c>
      <c r="N6" s="45">
        <f>UE_Summary!P13</f>
        <v/>
      </c>
      <c r="O6" s="43">
        <f>UE_Summary!Q13</f>
        <v/>
      </c>
      <c r="P6" s="43">
        <f>UE_Summary!R13</f>
        <v/>
      </c>
      <c r="Q6" s="45">
        <f>UE_Summary!S13</f>
        <v/>
      </c>
      <c r="R6" s="26">
        <f>UE_Summary!T13</f>
        <v/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8" customHeight="1">
      <c r="A1" s="1" t="inlineStr">
        <is>
          <t>🏠  Lion02 — Kangri  (Colombia)</t>
        </is>
      </c>
    </row>
    <row r="2">
      <c r="A2" s="12" t="inlineStr">
        <is>
          <t>Launch Date:</t>
        </is>
      </c>
      <c r="B2" s="50" t="inlineStr">
        <is>
          <t>2026-02-01</t>
        </is>
      </c>
      <c r="D2" s="12" t="inlineStr">
        <is>
          <t>Status:</t>
        </is>
      </c>
      <c r="E2" s="50" t="inlineStr">
        <is>
          <t>Active</t>
        </is>
      </c>
      <c r="G2" s="12" t="inlineStr">
        <is>
          <t>Market:</t>
        </is>
      </c>
      <c r="H2" s="50" t="inlineStr">
        <is>
          <t>Colombia</t>
        </is>
      </c>
    </row>
    <row r="4">
      <c r="A4" s="3" t="inlineStr">
        <is>
          <t>Month</t>
        </is>
      </c>
      <c r="B4" s="3" t="inlineStr">
        <is>
          <t>Diamonds</t>
        </is>
      </c>
      <c r="C4" s="3" t="inlineStr">
        <is>
          <t>Revenue</t>
        </is>
      </c>
      <c r="D4" s="3" t="inlineStr">
        <is>
          <t>Creator Sal.</t>
        </is>
      </c>
      <c r="E4" s="3" t="inlineStr">
        <is>
          <t>Staff Cost</t>
        </is>
      </c>
      <c r="F4" s="3" t="inlineStr">
        <is>
          <t>Rent</t>
        </is>
      </c>
      <c r="G4" s="3" t="inlineStr">
        <is>
          <t>Utility</t>
        </is>
      </c>
      <c r="H4" s="3" t="inlineStr">
        <is>
          <t>Buffer</t>
        </is>
      </c>
      <c r="I4" s="3" t="inlineStr">
        <is>
          <t>Admin</t>
        </is>
      </c>
      <c r="J4" s="3" t="inlineStr">
        <is>
          <t>Other</t>
        </is>
      </c>
      <c r="K4" s="3" t="inlineStr">
        <is>
          <t>Total Cost</t>
        </is>
      </c>
      <c r="L4" s="3" t="inlineStr">
        <is>
          <t>Gross Profit</t>
        </is>
      </c>
      <c r="M4" s="3" t="inlineStr">
        <is>
          <t>Margin %</t>
        </is>
      </c>
      <c r="N4" s="3" t="inlineStr">
        <is>
          <t>Stage</t>
        </is>
      </c>
      <c r="O4" s="3" t="inlineStr">
        <is>
          <t>Cumul. Net</t>
        </is>
      </c>
      <c r="P4" s="3" t="inlineStr">
        <is>
          <t>Initial Invest.</t>
        </is>
      </c>
      <c r="Q4" s="3" t="inlineStr">
        <is>
          <t>Recovered?</t>
        </is>
      </c>
      <c r="R4" s="3" t="inlineStr">
        <is>
          <t>Month #</t>
        </is>
      </c>
    </row>
    <row r="5">
      <c r="A5" s="45">
        <f>UE_Summary!A4</f>
        <v/>
      </c>
      <c r="B5" s="42">
        <f>UE_Summary!D4</f>
        <v/>
      </c>
      <c r="C5" s="43">
        <f>UE_Summary!E4</f>
        <v/>
      </c>
      <c r="D5" s="43">
        <f>UE_Summary!F4</f>
        <v/>
      </c>
      <c r="E5" s="43">
        <f>UE_Summary!G4</f>
        <v/>
      </c>
      <c r="F5" s="43">
        <f>UE_Summary!H4</f>
        <v/>
      </c>
      <c r="G5" s="43">
        <f>UE_Summary!I4</f>
        <v/>
      </c>
      <c r="H5" s="43">
        <f>UE_Summary!J4</f>
        <v/>
      </c>
      <c r="I5" s="43">
        <f>UE_Summary!K4</f>
        <v/>
      </c>
      <c r="J5" s="43">
        <f>UE_Summary!L4</f>
        <v/>
      </c>
      <c r="K5" s="43">
        <f>UE_Summary!M4</f>
        <v/>
      </c>
      <c r="L5" s="43">
        <f>UE_Summary!N4</f>
        <v/>
      </c>
      <c r="M5" s="44">
        <f>UE_Summary!O4</f>
        <v/>
      </c>
      <c r="N5" s="45">
        <f>UE_Summary!P4</f>
        <v/>
      </c>
      <c r="O5" s="43">
        <f>UE_Summary!Q4</f>
        <v/>
      </c>
      <c r="P5" s="43">
        <f>UE_Summary!R4</f>
        <v/>
      </c>
      <c r="Q5" s="45">
        <f>UE_Summary!S4</f>
        <v/>
      </c>
      <c r="R5" s="26">
        <f>UE_Summary!T4</f>
        <v/>
      </c>
    </row>
    <row r="6">
      <c r="A6" s="45">
        <f>UE_Summary!A14</f>
        <v/>
      </c>
      <c r="B6" s="42">
        <f>UE_Summary!D14</f>
        <v/>
      </c>
      <c r="C6" s="43">
        <f>UE_Summary!E14</f>
        <v/>
      </c>
      <c r="D6" s="43">
        <f>UE_Summary!F14</f>
        <v/>
      </c>
      <c r="E6" s="43">
        <f>UE_Summary!G14</f>
        <v/>
      </c>
      <c r="F6" s="43">
        <f>UE_Summary!H14</f>
        <v/>
      </c>
      <c r="G6" s="43">
        <f>UE_Summary!I14</f>
        <v/>
      </c>
      <c r="H6" s="43">
        <f>UE_Summary!J14</f>
        <v/>
      </c>
      <c r="I6" s="43">
        <f>UE_Summary!K14</f>
        <v/>
      </c>
      <c r="J6" s="43">
        <f>UE_Summary!L14</f>
        <v/>
      </c>
      <c r="K6" s="43">
        <f>UE_Summary!M14</f>
        <v/>
      </c>
      <c r="L6" s="43">
        <f>UE_Summary!N14</f>
        <v/>
      </c>
      <c r="M6" s="44">
        <f>UE_Summary!O14</f>
        <v/>
      </c>
      <c r="N6" s="45">
        <f>UE_Summary!P14</f>
        <v/>
      </c>
      <c r="O6" s="43">
        <f>UE_Summary!Q14</f>
        <v/>
      </c>
      <c r="P6" s="43">
        <f>UE_Summary!R14</f>
        <v/>
      </c>
      <c r="Q6" s="45">
        <f>UE_Summary!S14</f>
        <v/>
      </c>
      <c r="R6" s="26">
        <f>UE_Summary!T14</f>
        <v/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Lion03 — (Lion03)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Lion04 — (Lion04)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Lion05 — (Lion05)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Lion06 — (Lion06)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Lion07 — (Lion07)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Lion08 — (Lion08)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Lion09 — (Lion09)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🏠  Lion10 — (Lion10)  (Colombia)</t>
        </is>
      </c>
    </row>
    <row r="2">
      <c r="A2" s="51" t="inlineStr">
        <is>
          <t>Status: Not Launched Yet — Change status in Config to activate this team.</t>
        </is>
      </c>
    </row>
  </sheetData>
  <mergeCells count="2">
    <mergeCell ref="A2:R2"/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2026-03-31T15:22:20Z</dcterms:created>
  <dcterms:modified xmlns:dcterms="http://purl.org/dc/terms/" xmlns:xsi="http://www.w3.org/2001/XMLSchema-instance" xsi:type="dcterms:W3CDTF">2026-03-31T15:22:20Z</dcterms:modified>
</cp:coreProperties>
</file>